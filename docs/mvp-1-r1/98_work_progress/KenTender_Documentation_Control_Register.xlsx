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Documents" sheetId="2" state="visible" r:id="rId2"/>
    <sheet xmlns:r="http://schemas.openxmlformats.org/officeDocument/2006/relationships" name="Interfaces" sheetId="3" state="visible" r:id="rId3"/>
    <sheet xmlns:r="http://schemas.openxmlformats.org/officeDocument/2006/relationships" name="Decisions" sheetId="4" state="visible" r:id="rId4"/>
    <sheet xmlns:r="http://schemas.openxmlformats.org/officeDocument/2006/relationships" name="Delivery" sheetId="5" state="visible" r:id="rId5"/>
    <sheet xmlns:r="http://schemas.openxmlformats.org/officeDocument/2006/relationships" name="Future Work" sheetId="6" state="visible" r:id="rId6"/>
    <sheet xmlns:r="http://schemas.openxmlformats.org/officeDocument/2006/relationships" name="Audit" sheetId="7" state="visible" r:id="rId7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rlito"/>
      <sz val="11"/>
    </font>
    <font>
      <name val="Aptos"/>
      <color rgb="FF1F2937"/>
      <sz val="10"/>
    </font>
    <font>
      <name val="Aptos"/>
      <b val="1"/>
      <color rgb="FFFFFFFF"/>
      <sz val="20"/>
    </font>
    <font>
      <name val="Aptos"/>
      <b val="1"/>
      <color rgb="FFFFFFFF"/>
      <sz val="11"/>
    </font>
    <font>
      <name val="Aptos"/>
      <b val="1"/>
      <color rgb="FF1F2937"/>
      <sz val="9"/>
    </font>
    <font>
      <name val="Aptos"/>
      <b val="1"/>
      <color rgb="FF17365D"/>
      <sz val="20"/>
    </font>
    <font>
      <name val="Aptos"/>
      <b val="1"/>
      <color rgb="FFFFFFFF"/>
      <sz val="9"/>
    </font>
    <font>
      <name val="Aptos"/>
      <b val="1"/>
      <color rgb="FF17365D"/>
      <sz val="10"/>
    </font>
    <font>
      <name val="Aptos"/>
      <b val="1"/>
      <color rgb="FFFFFFFF"/>
      <sz val="10"/>
    </font>
    <font>
      <name val="Aptos"/>
      <color rgb="FF9C0006"/>
      <sz val="10"/>
    </font>
  </fonts>
  <fills count="11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4472C4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</fills>
  <borders count="10">
    <border/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</border>
    <border>
      <top style="thin">
        <color rgb="FFD0D7DE"/>
      </top>
    </border>
    <border>
      <right style="thin">
        <color rgb="FFD0D7DE"/>
      </right>
      <top style="thin">
        <color rgb="FFD0D7DE"/>
      </top>
    </border>
    <border>
      <right style="thin">
        <color rgb="FFD0D7DE"/>
      </right>
      <top style="thin">
        <color rgb="FFD0D7DE"/>
      </top>
      <bottom style="thin">
        <color rgb="FFD0D7DE"/>
      </bottom>
    </border>
    <border>
      <left style="thin">
        <color rgb="FFD0D7DE"/>
      </left>
    </border>
    <border>
      <right style="thin">
        <color rgb="FFD0D7DE"/>
      </right>
    </border>
    <border>
      <left style="thin">
        <color rgb="FFD0D7DE"/>
      </left>
      <bottom style="thin">
        <color rgb="FFD0D7DE"/>
      </bottom>
    </border>
    <border>
      <right style="thin">
        <color rgb="FFD0D7DE"/>
      </right>
      <bottom style="thin">
        <color rgb="FFD0D7DE"/>
      </bottom>
    </border>
    <border>
      <top style="thin">
        <color rgb="FFD0D7DE"/>
      </top>
      <bottom style="thin">
        <color rgb="FFD0D7DE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/>
    </xf>
    <xf numFmtId="0" fontId="1" fillId="2" borderId="0" applyAlignment="1" pivotButton="0" quotePrefix="0" xfId="0">
      <alignment vertical="top"/>
    </xf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center"/>
    </xf>
    <xf numFmtId="0" fontId="1" fillId="3" borderId="0" applyAlignment="1" pivotButton="0" quotePrefix="0" xfId="0">
      <alignment vertical="top"/>
    </xf>
    <xf numFmtId="0" fontId="1" fillId="3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top"/>
    </xf>
    <xf numFmtId="0" fontId="3" fillId="4" borderId="0" applyAlignment="1" pivotButton="0" quotePrefix="0" xfId="0">
      <alignment vertical="top"/>
    </xf>
    <xf numFmtId="0" fontId="1" fillId="5" borderId="0" applyAlignment="1" pivotButton="0" quotePrefix="0" xfId="0">
      <alignment vertical="top"/>
    </xf>
    <xf numFmtId="0" fontId="4" fillId="5" borderId="0" applyAlignment="1" pivotButton="0" quotePrefix="0" xfId="0">
      <alignment vertical="top"/>
    </xf>
    <xf numFmtId="0" fontId="4" fillId="5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4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vertical="top"/>
    </xf>
    <xf numFmtId="0" fontId="5" fillId="6" borderId="0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top"/>
    </xf>
    <xf numFmtId="0" fontId="6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7" fillId="7" borderId="0" applyAlignment="1" pivotButton="0" quotePrefix="0" xfId="0">
      <alignment vertical="top"/>
    </xf>
    <xf numFmtId="0" fontId="7" fillId="7" borderId="0" applyAlignment="1" pivotButton="0" quotePrefix="0" xfId="0">
      <alignment horizontal="center" vertical="top"/>
    </xf>
    <xf numFmtId="0" fontId="7" fillId="7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7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/>
    </xf>
    <xf numFmtId="0" fontId="1" fillId="0" borderId="1" applyAlignment="1" pivotButton="0" quotePrefix="0" xfId="0">
      <alignment vertical="top" wrapText="1"/>
    </xf>
    <xf numFmtId="0" fontId="8" fillId="2" borderId="0" applyAlignment="1" pivotButton="0" quotePrefix="0" xfId="0">
      <alignment vertical="top"/>
    </xf>
    <xf numFmtId="0" fontId="8" fillId="2" borderId="0" applyAlignment="1" pivotButton="0" quotePrefix="0" xfId="0">
      <alignment vertical="top" wrapText="1"/>
    </xf>
    <xf numFmtId="0" fontId="8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top"/>
    </xf>
    <xf numFmtId="0" fontId="1" fillId="8" borderId="0" applyAlignment="1" pivotButton="0" quotePrefix="0" xfId="0">
      <alignment vertical="top"/>
    </xf>
    <xf numFmtId="0" fontId="1" fillId="9" borderId="0" applyAlignment="1" pivotButton="0" quotePrefix="0" xfId="0">
      <alignment vertical="top"/>
    </xf>
    <xf numFmtId="0" fontId="1" fillId="10" borderId="0" applyAlignment="1" pivotButton="0" quotePrefix="0" xfId="0">
      <alignment vertical="top"/>
    </xf>
    <xf numFmtId="0" fontId="9" fillId="10" borderId="0" applyAlignment="1" pivotButton="0" quotePrefix="0" xfId="0">
      <alignment vertical="top"/>
    </xf>
    <xf numFmtId="164" fontId="1" fillId="0" borderId="0" applyAlignment="1" pivotButton="0" quotePrefix="0" xfId="0">
      <alignment vertical="top" wrapText="1"/>
    </xf>
    <xf numFmtId="0" fontId="1" fillId="9" borderId="0" applyAlignment="1" pivotButton="0" quotePrefix="0" xfId="0">
      <alignment vertical="top" wrapText="1"/>
    </xf>
    <xf numFmtId="0" fontId="9" fillId="1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3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164" fontId="1" fillId="0" borderId="0" applyAlignment="1" pivotButton="0" quotePrefix="0" xfId="0">
      <alignment vertical="top"/>
    </xf>
    <xf numFmtId="164" fontId="1" fillId="0" borderId="0" applyAlignment="1" pivotButton="0" quotePrefix="0" xfId="0">
      <alignment vertical="top" wrapText="1"/>
    </xf>
  </cellXfs>
  <cellStyles count="1">
    <cellStyle name="Normal" xfId="0"/>
  </cellStyles>
  <dxfs count="121">
    <dxf>
      <font>
        <b val="1"/>
        <color rgb="FF9C0006"/>
      </font>
      <fill>
        <patternFill>
          <bgColor rgb="FFFCE4D6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color rgb="FF7F60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color rgb="FF1F2937"/>
      </font>
      <fill>
        <patternFill>
          <bgColor rgb="FFF2F2F2"/>
        </patternFill>
      </fill>
    </dxf>
    <dxf>
      <font>
        <color rgb="FF1F2937"/>
      </font>
      <fill>
        <patternFill>
          <bgColor rgb="FFF2F2F2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7F6000"/>
      </font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DocumentsTable" displayName="DocumentsTable" ref="A5:P35" headerRowCount="1" totalsRowCount="0" totalsRowShown="0">
  <tableColumns count="16">
    <tableColumn id="1" name="Document ID"/>
    <tableColumn id="2" name="Title"/>
    <tableColumn id="3" name="Version"/>
    <tableColumn id="4" name="Module"/>
    <tableColumn id="5" name="Category"/>
    <tableColumn id="6" name="Requirement status"/>
    <tableColumn id="7" name="Approval date"/>
    <tableColumn id="8" name="Supersedes / basis"/>
    <tableColumn id="9" name="Implementation"/>
    <tableColumn id="10" name="Verification"/>
    <tableColumn id="11" name="Release"/>
    <tableColumn id="12" name="Normative"/>
    <tableColumn id="13" name="Scope"/>
    <tableColumn id="14" name="Dependencies"/>
    <tableColumn id="15" name="Required action"/>
    <tableColumn id="16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nterfacesTable" displayName="InterfacesTable" ref="A5:I24" headerRowCount="1" totalsRowCount="0" totalsRowShown="0">
  <autoFilter ref="A5:I24"/>
  <tableColumns count="9">
    <tableColumn id="1" name="Interface ID"/>
    <tableColumn id="2" name="Upstream owner"/>
    <tableColumn id="3" name="Downstream consumer"/>
    <tableColumn id="4" name="Contract / artifact"/>
    <tableColumn id="5" name="Requirement status"/>
    <tableColumn id="6" name="Implementation"/>
    <tableColumn id="7" name="Test status"/>
    <tableColumn id="8" name="Owning documents"/>
    <tableColumn id="9" name="Failure 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cisionsTable" displayName="DecisionsTable" ref="A5:F33" headerRowCount="1" totalsRowCount="0" totalsRowShown="0">
  <autoFilter ref="A5:F29"/>
  <tableColumns count="6">
    <tableColumn id="1" name="Decision ID"/>
    <tableColumn id="2" name="Decision"/>
    <tableColumn id="3" name="Status"/>
    <tableColumn id="4" name="Owning document"/>
    <tableColumn id="5" name="Implementation effect"/>
    <tableColumn id="6" name="Design effec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eliveryTable" displayName="DeliveryTable" ref="A5:K52" headerRowCount="1" totalsRowCount="0" totalsRowShown="0">
  <autoFilter ref="A5:K52"/>
  <tableColumns count="11">
    <tableColumn id="1" name="Item ID"/>
    <tableColumn id="2" name="Area"/>
    <tableColumn id="3" name="Required change"/>
    <tableColumn id="4" name="Functional outcome"/>
    <tableColumn id="5" name="Design outcome"/>
    <tableColumn id="6" name="Owning document"/>
    <tableColumn id="7" name="Requirement status"/>
    <tableColumn id="8" name="Release gate"/>
    <tableColumn id="9" name="Implementation"/>
    <tableColumn id="10" name="Verification"/>
    <tableColumn id="11" name="Evidence / 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utureWorkTable" displayName="FutureWorkTable" ref="A5:G15" headerRowCount="1" totalsRowCount="0" totalsRowShown="0">
  <autoFilter ref="A5:G15"/>
  <tableColumns count="7">
    <tableColumn id="1" name="Future ID"/>
    <tableColumn id="2" name="Capability"/>
    <tableColumn id="3" name="Planned wave"/>
    <tableColumn id="4" name="Dependency"/>
    <tableColumn id="5" name="Status"/>
    <tableColumn id="6" name="Current boundary"/>
    <tableColumn id="7" name="Trigger to star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uditTable" displayName="AuditTable" ref="A5:I24" headerRowCount="1" totalsRowCount="0" totalsRowShown="0">
  <autoFilter ref="A5:I24"/>
  <tableColumns count="9">
    <tableColumn id="1" name="Finding ID"/>
    <tableColumn id="2" name="Severity"/>
    <tableColumn id="3" name="Type"/>
    <tableColumn id="4" name="Finding"/>
    <tableColumn id="5" name="Status"/>
    <tableColumn id="6" name="Owner"/>
    <tableColumn id="7" name="Required action"/>
    <tableColumn id="8" name="Blocks"/>
    <tableColumn id="9" name="Evide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tabColor rgb="FF17365D"/>
    <outlinePr summaryBelow="1" summaryRight="1"/>
    <pageSetUpPr/>
  </sheetPr>
  <dimension ref="A1:Z200"/>
  <sheetViews>
    <sheetView showGridLines="0" workbookViewId="0">
      <pane ySplit="2" topLeftCell="A3" activePane="bottomLeft" state="frozen"/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25" customWidth="1" min="4" max="4"/>
    <col width="20" customWidth="1" min="5" max="5"/>
    <col width="24" customWidth="1" min="6" max="6"/>
    <col width="14" customWidth="1" min="7" max="7"/>
    <col width="25" customWidth="1" min="8" max="8"/>
  </cols>
  <sheetData>
    <row r="1" ht="38" customHeight="1">
      <c r="A1" s="5" t="inlineStr">
        <is>
          <t>KenTender documentation control</t>
        </is>
      </c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Current controlled baseline and delivery status as at 2026-10-01. Requirement approval, implementation, verification and release are tracked independently.</t>
        </is>
      </c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10" t="inlineStr">
        <is>
          <t>Baseline status</t>
        </is>
      </c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21" t="inlineStr">
        <is>
          <t>Controlled / referenced artifacts</t>
        </is>
      </c>
      <c r="B5" s="44" t="n"/>
      <c r="C5" s="21" t="inlineStr">
        <is>
          <t>Approved requirements</t>
        </is>
      </c>
      <c r="D5" s="44" t="n"/>
      <c r="E5" s="21" t="inlineStr">
        <is>
          <t>Awaiting owner approval</t>
        </is>
      </c>
      <c r="F5" s="44" t="n"/>
      <c r="G5" s="21" t="inlineStr">
        <is>
          <t>Open delivery items</t>
        </is>
      </c>
      <c r="H5" s="44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20">
        <f>COUNTA(Documents!A6:A35)</f>
        <v/>
      </c>
      <c r="B6" s="45" t="n"/>
      <c r="C6" s="20">
        <f>COUNTIF(Documents!F6:F35,"Approved requirement")</f>
        <v/>
      </c>
      <c r="D6" s="45" t="n"/>
      <c r="E6" s="20">
        <f>COUNTIF(Documents!F6:F35,"Project Owner review")</f>
        <v/>
      </c>
      <c r="F6" s="45" t="n"/>
      <c r="G6" s="20">
        <f>COUNTIF(Delivery!I6:I52,"Not started")+COUNTIF(Delivery!I6:I52,"Planned")</f>
        <v/>
      </c>
      <c r="H6" s="45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46" t="n"/>
      <c r="B7" s="47" t="n"/>
      <c r="C7" s="46" t="n"/>
      <c r="D7" s="47" t="n"/>
      <c r="E7" s="46" t="n"/>
      <c r="F7" s="47" t="n"/>
      <c r="G7" s="46" t="n"/>
      <c r="H7" s="47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10" t="inlineStr">
        <is>
          <t>Immediate attention</t>
        </is>
      </c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3" t="inlineStr">
        <is>
          <t>Finding</t>
        </is>
      </c>
      <c r="B10" s="23" t="inlineStr">
        <is>
          <t>Severity</t>
        </is>
      </c>
      <c r="C10" s="23" t="inlineStr">
        <is>
          <t>Type</t>
        </is>
      </c>
      <c r="D10" s="23" t="inlineStr">
        <is>
          <t>Action</t>
        </is>
      </c>
      <c r="E10" s="23" t="inlineStr">
        <is>
          <t>Owner</t>
        </is>
      </c>
      <c r="F10" s="23" t="inlineStr">
        <is>
          <t>Blocks</t>
        </is>
      </c>
      <c r="G10" s="23" t="inlineStr">
        <is>
          <t>Status</t>
        </is>
      </c>
      <c r="H10" s="23" t="inlineStr">
        <is>
          <t>Evidence</t>
        </is>
      </c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24" customHeight="1">
      <c r="A11" s="24" t="inlineStr">
        <is>
          <t>AUD-001</t>
        </is>
      </c>
      <c r="B11" s="24" t="inlineStr">
        <is>
          <t>High</t>
        </is>
      </c>
      <c r="C11" s="24" t="inlineStr">
        <is>
          <t>Approval</t>
        </is>
      </c>
      <c r="D11" s="24" t="inlineStr">
        <is>
          <t>Approve or return with changes.</t>
        </is>
      </c>
      <c r="E11" s="24" t="inlineStr">
        <is>
          <t>Project Owner</t>
        </is>
      </c>
      <c r="F11" s="24" t="inlineStr">
        <is>
          <t>Gate 1 configuration implementation</t>
        </is>
      </c>
      <c r="G11" s="24" t="inlineStr">
        <is>
          <t>Open</t>
        </is>
      </c>
      <c r="H11" s="24" t="inlineStr">
        <is>
          <t>CFG-CHG-002 v0.16 control block</t>
        </is>
      </c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42" customHeight="1">
      <c r="A12" s="24" t="inlineStr">
        <is>
          <t>AUD-002</t>
        </is>
      </c>
      <c r="B12" s="24" t="inlineStr">
        <is>
          <t>High</t>
        </is>
      </c>
      <c r="C12" s="24" t="inlineStr">
        <is>
          <t>Approval</t>
        </is>
      </c>
      <c r="D12" s="24" t="inlineStr">
        <is>
          <t>No approval action remains; implementation and verification are tracked separately.</t>
        </is>
      </c>
      <c r="E12" s="24" t="inlineStr">
        <is>
          <t>Project Owner</t>
        </is>
      </c>
      <c r="F12" s="24" t="inlineStr">
        <is>
          <t>Authoritative Tender implementation baseline</t>
        </is>
      </c>
      <c r="G12" s="24" t="inlineStr">
        <is>
          <t>Closed</t>
        </is>
      </c>
      <c r="H12" s="24" t="inlineStr">
        <is>
          <t>TPR-CHG-001 v0.12 approval control block</t>
        </is>
      </c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24" t="inlineStr">
        <is>
          <t>AUD-003</t>
        </is>
      </c>
      <c r="B13" s="24" t="inlineStr">
        <is>
          <t>High</t>
        </is>
      </c>
      <c r="C13" s="24" t="inlineStr">
        <is>
          <t>Approval</t>
        </is>
      </c>
      <c r="D13" s="24" t="inlineStr">
        <is>
          <t>No further requirement approval for v0.8; retain separate TPR v0.13 dependency and production operating gates.</t>
        </is>
      </c>
      <c r="E13" s="24" t="inlineStr">
        <is>
          <t>Project Owner</t>
        </is>
      </c>
      <c r="F13" s="24" t="inlineStr">
        <is>
          <t>None—requirements approval recorded</t>
        </is>
      </c>
      <c r="G13" s="24" t="inlineStr">
        <is>
          <t>Closed</t>
        </is>
      </c>
      <c r="H13" s="24" t="inlineStr">
        <is>
          <t>BDS-CHG-001 v0.8 approval record</t>
        </is>
      </c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24" customHeight="1">
      <c r="A14" s="24" t="inlineStr">
        <is>
          <t>AUD-005</t>
        </is>
      </c>
      <c r="B14" s="24" t="inlineStr">
        <is>
          <t>High</t>
        </is>
      </c>
      <c r="C14" s="24" t="inlineStr">
        <is>
          <t>Approval</t>
        </is>
      </c>
      <c r="D14" s="24" t="inlineStr">
        <is>
          <t>Approve as the current Gate 1 delivery control.</t>
        </is>
      </c>
      <c r="E14" s="24" t="inlineStr">
        <is>
          <t>Project Owner</t>
        </is>
      </c>
      <c r="F14" s="24" t="inlineStr">
        <is>
          <t>Single authoritative change matrix</t>
        </is>
      </c>
      <c r="G14" s="24" t="inlineStr">
        <is>
          <t>Open</t>
        </is>
      </c>
      <c r="H14" s="24" t="inlineStr">
        <is>
          <t>G1-REG-001 v1.1 control block</t>
        </is>
      </c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8.75" customHeight="1">
      <c r="A15" s="24" t="inlineStr">
        <is>
          <t>AUD-006</t>
        </is>
      </c>
      <c r="B15" s="24" t="inlineStr">
        <is>
          <t>Critical</t>
        </is>
      </c>
      <c r="C15" s="24" t="inlineStr">
        <is>
          <t>Bundle readiness</t>
        </is>
      </c>
      <c r="D15" s="24" t="inlineStr">
        <is>
          <t>Rebuild and verify the bundle; install with matching assets and renderer, then Administrator may turn it On.</t>
        </is>
      </c>
      <c r="E15" s="24" t="inlineStr">
        <is>
          <t>Controlled release owner</t>
        </is>
      </c>
      <c r="F15" s="24" t="inlineStr">
        <is>
          <t>Tender publication and production Bid Submission</t>
        </is>
      </c>
      <c r="G15" s="24" t="inlineStr">
        <is>
          <t>Open</t>
        </is>
      </c>
      <c r="H15" s="24" t="inlineStr">
        <is>
          <t>STD-TPL-001 v0.10 in-version amendment; FU-01 OD5; earlier candidate ZIP</t>
        </is>
      </c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66" customHeight="1">
      <c r="A16" s="24" t="inlineStr">
        <is>
          <t>AUD-007</t>
        </is>
      </c>
      <c r="B16" s="24" t="inlineStr">
        <is>
          <t>Critical</t>
        </is>
      </c>
      <c r="C16" s="24" t="inlineStr">
        <is>
          <t>Operating gate</t>
        </is>
      </c>
      <c r="D16" s="24" t="inlineStr">
        <is>
          <t>Approve support, monitoring, recovery, authority and incident arrangements; then enable the deployment flag.</t>
        </is>
      </c>
      <c r="E16" s="24" t="inlineStr">
        <is>
          <t>Project Owner / Operations</t>
        </is>
      </c>
      <c r="F16" s="24" t="inlineStr">
        <is>
          <t>Production submission</t>
        </is>
      </c>
      <c r="G16" s="24" t="inlineStr">
        <is>
          <t>Open</t>
        </is>
      </c>
      <c r="H16" s="24" t="inlineStr">
        <is>
          <t>BDS-CHG-001 v0.8; G1-REG-001 v1.1</t>
        </is>
      </c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48.75" customHeight="1">
      <c r="A17" s="24" t="inlineStr">
        <is>
          <t>AUD-008</t>
        </is>
      </c>
      <c r="B17" s="24" t="inlineStr">
        <is>
          <t>High</t>
        </is>
      </c>
      <c r="C17" s="24" t="inlineStr">
        <is>
          <t>Reconciliation</t>
        </is>
      </c>
      <c r="D17" s="24" t="inlineStr">
        <is>
          <t>Issue a reconciled fixture version before integrated verification. Also state that the canonical seed covers every module stage as it is built (DEC-028), replacing v1.3 §5.2's "No opening/evaluation/award actual generated by this seed".</t>
        </is>
      </c>
      <c r="E17" s="24" t="inlineStr">
        <is>
          <t>Requirements owner</t>
        </is>
      </c>
      <c r="F17" s="24" t="inlineStr">
        <is>
          <t>Reliable end-to-end seed tests</t>
        </is>
      </c>
      <c r="G17" s="24" t="inlineStr">
        <is>
          <t>Open</t>
        </is>
      </c>
      <c r="H17" s="24" t="inlineStr">
        <is>
          <t>SEED-001 v1.3 compared with current baseline</t>
        </is>
      </c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45" customHeight="1">
      <c r="A18" s="24" t="inlineStr">
        <is>
          <t>AUD-009</t>
        </is>
      </c>
      <c r="B18" s="24" t="inlineStr">
        <is>
          <t>Medium</t>
        </is>
      </c>
      <c r="C18" s="24" t="inlineStr">
        <is>
          <t>Stale reference</t>
        </is>
      </c>
      <c r="D18" s="24" t="inlineStr">
        <is>
          <t>Refresh document references without changing the approved legal decision.</t>
        </is>
      </c>
      <c r="E18" s="24" t="inlineStr">
        <is>
          <t>Requirements owner</t>
        </is>
      </c>
      <c r="F18" s="24" t="inlineStr">
        <is>
          <t>Clean reservation implementation handoff</t>
        </is>
      </c>
      <c r="G18" s="24" t="inlineStr">
        <is>
          <t>Open</t>
        </is>
      </c>
      <c r="H18" s="24" t="inlineStr">
        <is>
          <t>RES-IMP-001 v1.0 references</t>
        </is>
      </c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45" customHeight="1">
      <c r="A19" s="24" t="inlineStr">
        <is>
          <t>AUD-010</t>
        </is>
      </c>
      <c r="B19" s="24" t="inlineStr">
        <is>
          <t>High</t>
        </is>
      </c>
      <c r="C19" s="24" t="inlineStr">
        <is>
          <t>Missing controlled file</t>
        </is>
      </c>
      <c r="D19" s="24" t="inlineStr">
        <is>
          <t>Locate or admit the exact version and record its authority.</t>
        </is>
      </c>
      <c r="E19" s="24" t="inlineStr">
        <is>
          <t>Documentation owner</t>
        </is>
      </c>
      <c r="F19" s="24" t="inlineStr">
        <is>
          <t>Complete template/tender/bid traceability</t>
        </is>
      </c>
      <c r="G19" s="24" t="inlineStr">
        <is>
          <t>Open</t>
        </is>
      </c>
      <c r="H19" s="24" t="inlineStr">
        <is>
          <t>References in current controlled documents</t>
        </is>
      </c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42" customHeight="1">
      <c r="A20" s="24" t="inlineStr">
        <is>
          <t>AUD-011</t>
        </is>
      </c>
      <c r="B20" s="24" t="inlineStr">
        <is>
          <t>High</t>
        </is>
      </c>
      <c r="C20" s="24" t="inlineStr">
        <is>
          <t>Missing controlled file</t>
        </is>
      </c>
      <c r="D20" s="24" t="inlineStr">
        <is>
          <t>Locate or admit the exact version before integrated stress testing.</t>
        </is>
      </c>
      <c r="E20" s="24" t="inlineStr">
        <is>
          <t>Documentation owner</t>
        </is>
      </c>
      <c r="F20" s="24" t="inlineStr">
        <is>
          <t>Gate 1 integrated verification</t>
        </is>
      </c>
      <c r="G20" s="24" t="inlineStr">
        <is>
          <t>Open</t>
        </is>
      </c>
      <c r="H20" s="24" t="inlineStr">
        <is>
          <t>References in current controlled documents</t>
        </is>
      </c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55.5" customHeight="1">
      <c r="A21" s="24" t="inlineStr">
        <is>
          <t>AUD-013</t>
        </is>
      </c>
      <c r="B21" s="24" t="inlineStr">
        <is>
          <t>High</t>
        </is>
      </c>
      <c r="C21" s="24" t="inlineStr">
        <is>
          <t>Cross-module adoption</t>
        </is>
      </c>
      <c r="D21" s="24" t="inlineStr">
        <is>
          <t>Adopt the shared contract in each active module and run persona/state conformance tests.</t>
        </is>
      </c>
      <c r="E21" s="24" t="inlineStr">
        <is>
          <t>Requirements and implementation owners</t>
        </is>
      </c>
      <c r="F21" s="24" t="inlineStr">
        <is>
          <t>Usability-complete Gate 1 verification</t>
        </is>
      </c>
      <c r="G21" s="24" t="inlineStr">
        <is>
          <t>Open</t>
        </is>
      </c>
      <c r="H21" s="24" t="inlineStr">
        <is>
          <t>KT-STD-001 v1.9; PLN-CHG-001 v1.27; Workflow Guidance Standard</t>
        </is>
      </c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48.75" customHeight="1">
      <c r="A22" s="24" t="inlineStr">
        <is>
          <t>AUD-014</t>
        </is>
      </c>
      <c r="B22" s="24" t="inlineStr">
        <is>
          <t>High</t>
        </is>
      </c>
      <c r="C22" s="24" t="inlineStr">
        <is>
          <t>Implementation handoff</t>
        </is>
      </c>
      <c r="D22" s="24" t="inlineStr">
        <is>
          <t>Issue a controlled SEED successor before integrated implementation verification.</t>
        </is>
      </c>
      <c r="E22" s="24" t="inlineStr">
        <is>
          <t>Requirements owner</t>
        </is>
      </c>
      <c r="F22" s="24" t="inlineStr">
        <is>
          <t>One reproducible end-to-end test baseline</t>
        </is>
      </c>
      <c r="G22" s="24" t="inlineStr">
        <is>
          <t>Open</t>
        </is>
      </c>
      <c r="H22" s="24" t="inlineStr">
        <is>
          <t>G1-REG-001 v1.1; SEED-001 v1.3 compared with current baseline</t>
        </is>
      </c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70.5" customHeight="1">
      <c r="A23" s="24" t="inlineStr">
        <is>
          <t>AUD-016</t>
        </is>
      </c>
      <c r="B23" s="24" t="inlineStr">
        <is>
          <t>Medium</t>
        </is>
      </c>
      <c r="C23" s="24" t="inlineStr">
        <is>
          <t>Approval</t>
        </is>
      </c>
      <c r="D23" s="24" t="inlineStr">
        <is>
          <t>Approve or return the narrow inspection amendment.</t>
        </is>
      </c>
      <c r="E23" s="24" t="inlineStr">
        <is>
          <t>Project Owner</t>
        </is>
      </c>
      <c r="F23" s="24" t="inlineStr">
        <is>
          <t>Bounded procurement-user release visibility</t>
        </is>
      </c>
      <c r="G23" s="24" t="inlineStr">
        <is>
          <t>Open</t>
        </is>
      </c>
      <c r="H23" s="24" t="inlineStr">
        <is>
          <t>AUTH-ADR-001 v1.10 control block</t>
        </is>
      </c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42" customHeight="1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48" customHeight="1">
      <c r="A25" s="24" t="n"/>
      <c r="B25" s="24" t="n"/>
      <c r="C25" s="24" t="n"/>
      <c r="D25" s="24" t="n"/>
      <c r="E25" s="24" t="n"/>
      <c r="F25" s="24" t="n"/>
      <c r="G25" s="24" t="n"/>
      <c r="H25" s="24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10" t="inlineStr">
        <is>
          <t>Control rules</t>
        </is>
      </c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8" customHeight="1">
      <c r="A28" s="30" t="inlineStr">
        <is>
          <t>1</t>
        </is>
      </c>
      <c r="B28" s="31" t="inlineStr">
        <is>
          <t>One current authority</t>
        </is>
      </c>
      <c r="C28" s="32" t="inlineStr">
        <is>
          <t>Only the version listed as current controls implementation. Older documents remain historical.</t>
        </is>
      </c>
      <c r="D28" s="48" t="n"/>
      <c r="E28" s="48" t="n"/>
      <c r="F28" s="48" t="n"/>
      <c r="G28" s="48" t="n"/>
      <c r="H28" s="44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38" customHeight="1">
      <c r="A29" s="30" t="inlineStr">
        <is>
          <t>2</t>
        </is>
      </c>
      <c r="B29" s="31" t="inlineStr">
        <is>
          <t>Four separate states</t>
        </is>
      </c>
      <c r="C29" s="32" t="inlineStr">
        <is>
          <t>Requirement approval never proves implementation, verification or production release.</t>
        </is>
      </c>
      <c r="D29" s="48" t="n"/>
      <c r="E29" s="48" t="n"/>
      <c r="F29" s="48" t="n"/>
      <c r="G29" s="48" t="n"/>
      <c r="H29" s="44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38" customHeight="1">
      <c r="A30" s="30" t="inlineStr">
        <is>
          <t>3</t>
        </is>
      </c>
      <c r="B30" s="31" t="inlineStr">
        <is>
          <t>Interfaces are first-class</t>
        </is>
      </c>
      <c r="C30" s="32" t="inlineStr">
        <is>
          <t>A module is not complete until every upstream and downstream contract is closed and tested.</t>
        </is>
      </c>
      <c r="D30" s="48" t="n"/>
      <c r="E30" s="48" t="n"/>
      <c r="F30" s="48" t="n"/>
      <c r="G30" s="48" t="n"/>
      <c r="H30" s="44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38" customHeight="1">
      <c r="A31" s="30" t="inlineStr">
        <is>
          <t>4</t>
        </is>
      </c>
      <c r="B31" s="31" t="inlineStr">
        <is>
          <t>Future work remains visible</t>
        </is>
      </c>
      <c r="C31" s="32" t="inlineStr">
        <is>
          <t>Deferred capabilities stay recorded with a boundary and trigger; they are not hidden placeholders in the current UI.</t>
        </is>
      </c>
      <c r="D31" s="48" t="n"/>
      <c r="E31" s="48" t="n"/>
      <c r="F31" s="48" t="n"/>
      <c r="G31" s="48" t="n"/>
      <c r="H31" s="44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17">
    <mergeCell ref="A9:H9"/>
    <mergeCell ref="A4:H4"/>
    <mergeCell ref="E6:F7"/>
    <mergeCell ref="C6:D7"/>
    <mergeCell ref="C28:H28"/>
    <mergeCell ref="G6:H7"/>
    <mergeCell ref="A2:H2"/>
    <mergeCell ref="C5:D5"/>
    <mergeCell ref="A5:B5"/>
    <mergeCell ref="G5:H5"/>
    <mergeCell ref="E5:F5"/>
    <mergeCell ref="A6:B7"/>
    <mergeCell ref="C31:H31"/>
    <mergeCell ref="A1:H1"/>
    <mergeCell ref="A27:H27"/>
    <mergeCell ref="C29:H29"/>
    <mergeCell ref="C30:H30"/>
  </mergeCells>
  <conditionalFormatting sqref="B11:B25">
    <cfRule type="containsText" priority="1" operator="containsText" dxfId="0" text="Critical"/>
    <cfRule type="containsText" priority="2" operator="containsText" dxfId="1" text="High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4472C4"/>
    <outlinePr summaryBelow="1" summaryRight="1"/>
    <pageSetUpPr/>
  </sheetPr>
  <dimension ref="A1:Z20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5" customWidth="1" min="1" max="1"/>
    <col width="32" customWidth="1" min="2" max="2"/>
    <col width="10" customWidth="1" min="3" max="3"/>
    <col width="23" customWidth="1" min="4" max="4"/>
    <col width="20" customWidth="1" min="5" max="5"/>
    <col width="21" customWidth="1" min="6" max="6"/>
    <col width="14" customWidth="1" min="7" max="7"/>
    <col width="25" customWidth="1" min="8" max="8"/>
    <col width="18" customWidth="1" min="9" max="9"/>
    <col width="16" customWidth="1" min="10" max="10"/>
    <col width="14" customWidth="1" min="11" max="11"/>
    <col width="12" customWidth="1" min="12" max="12"/>
    <col width="42" customWidth="1" min="13" max="13"/>
    <col width="36" customWidth="1" min="14" max="14"/>
    <col width="42" customWidth="1" min="15" max="15"/>
    <col width="42" customWidth="1" min="16" max="16"/>
  </cols>
  <sheetData>
    <row r="1" ht="38" customHeight="1">
      <c r="A1" s="5" t="inlineStr">
        <is>
          <t>Controlled documents</t>
        </is>
      </c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Current authorities only. Historical and superseded versions are excluded from this working baseline. Filter by module or any of the four independent status dimensions.</t>
        </is>
      </c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6" customHeight="1">
      <c r="A5" s="35" t="inlineStr">
        <is>
          <t>Document ID</t>
        </is>
      </c>
      <c r="B5" s="35" t="inlineStr">
        <is>
          <t>Title</t>
        </is>
      </c>
      <c r="C5" s="35" t="inlineStr">
        <is>
          <t>Version</t>
        </is>
      </c>
      <c r="D5" s="35" t="inlineStr">
        <is>
          <t>Module</t>
        </is>
      </c>
      <c r="E5" s="35" t="inlineStr">
        <is>
          <t>Category</t>
        </is>
      </c>
      <c r="F5" s="35" t="inlineStr">
        <is>
          <t>Requirement status</t>
        </is>
      </c>
      <c r="G5" s="35" t="inlineStr">
        <is>
          <t>Approval date</t>
        </is>
      </c>
      <c r="H5" s="35" t="inlineStr">
        <is>
          <t>Supersedes / basis</t>
        </is>
      </c>
      <c r="I5" s="35" t="inlineStr">
        <is>
          <t>Implementation</t>
        </is>
      </c>
      <c r="J5" s="35" t="inlineStr">
        <is>
          <t>Verification</t>
        </is>
      </c>
      <c r="K5" s="35" t="inlineStr">
        <is>
          <t>Release</t>
        </is>
      </c>
      <c r="L5" s="35" t="inlineStr">
        <is>
          <t>Normative</t>
        </is>
      </c>
      <c r="M5" s="35" t="inlineStr">
        <is>
          <t>Scope</t>
        </is>
      </c>
      <c r="N5" s="35" t="inlineStr">
        <is>
          <t>Dependencies</t>
        </is>
      </c>
      <c r="O5" s="35" t="inlineStr">
        <is>
          <t>Required action</t>
        </is>
      </c>
      <c r="P5" s="35" t="inlineStr">
        <is>
          <t>Source</t>
        </is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44" customHeight="1">
      <c r="A6" s="2" t="inlineStr">
        <is>
          <t>STR-CHG-001</t>
        </is>
      </c>
      <c r="B6" s="24" t="inlineStr">
        <is>
          <t>Clean Strategy Alignment</t>
        </is>
      </c>
      <c r="C6" s="2" t="inlineStr">
        <is>
          <t>1.8</t>
        </is>
      </c>
      <c r="D6" s="24" t="inlineStr">
        <is>
          <t>Strategy Alignment</t>
        </is>
      </c>
      <c r="E6" s="24" t="inlineStr">
        <is>
          <t>Module requirements</t>
        </is>
      </c>
      <c r="F6" s="24" t="inlineStr">
        <is>
          <t>Approved requirement</t>
        </is>
      </c>
      <c r="G6" s="49" t="n">
        <v>46278</v>
      </c>
      <c r="H6" s="24" t="inlineStr">
        <is>
          <t>v1.7 and earlier</t>
        </is>
      </c>
      <c r="I6" s="24" t="inlineStr">
        <is>
          <t>Not evidenced</t>
        </is>
      </c>
      <c r="J6" s="24" t="inlineStr">
        <is>
          <t>Not evidenced</t>
        </is>
      </c>
      <c r="K6" s="24" t="inlineStr">
        <is>
          <t>Not applicable</t>
        </is>
      </c>
      <c r="L6" s="2" t="inlineStr">
        <is>
          <t>Yes</t>
        </is>
      </c>
      <c r="M6" s="24" t="inlineStr">
        <is>
          <t>Strategy objectives and accepted alignment evidence consumed by Planning.</t>
        </is>
      </c>
      <c r="N6" s="24" t="inlineStr">
        <is>
          <t>KT-STD-001; AUTH-ADR-001</t>
        </is>
      </c>
      <c r="O6" s="24" t="inlineStr">
        <is>
          <t>Retain as current controlled baseline.</t>
        </is>
      </c>
      <c r="P6" s="24" t="inlineStr">
        <is>
          <t>https://chatgpt.com/api/library/files/libfile_f5502a30807c8191b8d3f2910b96a9dc/download</t>
        </is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44" customHeight="1">
      <c r="A7" s="2" t="inlineStr">
        <is>
          <t>BUD-CHG-001</t>
        </is>
      </c>
      <c r="B7" s="24" t="inlineStr">
        <is>
          <t>Clean Budget and Funding</t>
        </is>
      </c>
      <c r="C7" s="2" t="inlineStr">
        <is>
          <t>1.11</t>
        </is>
      </c>
      <c r="D7" s="24" t="inlineStr">
        <is>
          <t>Budget and Funding</t>
        </is>
      </c>
      <c r="E7" s="24" t="inlineStr">
        <is>
          <t>Module requirements</t>
        </is>
      </c>
      <c r="F7" s="24" t="inlineStr">
        <is>
          <t>Approved requirement</t>
        </is>
      </c>
      <c r="G7" s="49" t="n">
        <v>46290</v>
      </c>
      <c r="H7" s="24" t="inlineStr">
        <is>
          <t>v1.10 approved 23 September 2026; v1.9 and earlier</t>
        </is>
      </c>
      <c r="I7" s="24" t="inlineStr">
        <is>
          <t>Not evidenced</t>
        </is>
      </c>
      <c r="J7" s="24" t="inlineStr">
        <is>
          <t>Not evidenced</t>
        </is>
      </c>
      <c r="K7" s="24" t="inlineStr">
        <is>
          <t>Not applicable</t>
        </is>
      </c>
      <c r="L7" s="2" t="inlineStr">
        <is>
          <t>Yes</t>
        </is>
      </c>
      <c r="M7" s="24" t="inlineStr">
        <is>
          <t>Funding ceilings, affordability, reservations and commitments, plus the Budget-owned receiving side of a Planning budget revision request. Budget remains separate from the statutory APP reservation denominator.</t>
        </is>
      </c>
      <c r="N7" s="24" t="inlineStr">
        <is>
          <t>PLN-CHG-001 v1.27; LAW-REG-001 v1.2; KT-STD-001 v1.8</t>
        </is>
      </c>
      <c r="O7" s="24" t="inlineStr">
        <is>
          <t>Implement the budget revision request receive, decline, withdraw and outcome contracts without treating the request as a revision, reservation or amount change.</t>
        </is>
      </c>
      <c r="P7" s="24" t="inlineStr">
        <is>
          <t>https://chatgpt.com/api/library/files/libfile_9ee7baefbc088191af5a27ce1d7f7aff/download</t>
        </is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4" customHeight="1">
      <c r="A8" s="2" t="inlineStr">
        <is>
          <t>NDS-CHG-001</t>
        </is>
      </c>
      <c r="B8" s="24" t="inlineStr">
        <is>
          <t>Clean Departmental Needs</t>
        </is>
      </c>
      <c r="C8" s="2" t="inlineStr">
        <is>
          <t>1.14</t>
        </is>
      </c>
      <c r="D8" s="24" t="inlineStr">
        <is>
          <t>Departmental Needs</t>
        </is>
      </c>
      <c r="E8" s="24" t="inlineStr">
        <is>
          <t>Module requirements</t>
        </is>
      </c>
      <c r="F8" s="24" t="inlineStr">
        <is>
          <t>Approved requirement</t>
        </is>
      </c>
      <c r="G8" s="49" t="n">
        <v>46286</v>
      </c>
      <c r="H8" s="24" t="inlineStr">
        <is>
          <t>v1.13 and earlier</t>
        </is>
      </c>
      <c r="I8" s="24" t="inlineStr">
        <is>
          <t>Not evidenced</t>
        </is>
      </c>
      <c r="J8" s="24" t="inlineStr">
        <is>
          <t>Not evidenced</t>
        </is>
      </c>
      <c r="K8" s="24" t="inlineStr">
        <is>
          <t>Not applicable</t>
        </is>
      </c>
      <c r="L8" s="2" t="inlineStr">
        <is>
          <t>Yes</t>
        </is>
      </c>
      <c r="M8" s="24" t="inlineStr">
        <is>
          <t>Simple need capture, review and acceptance; consultation is optional and is not a gate.</t>
        </is>
      </c>
      <c r="N8" s="24" t="inlineStr">
        <is>
          <t>PLN-CHG-001; KT-STD-001</t>
        </is>
      </c>
      <c r="O8" s="24" t="inlineStr">
        <is>
          <t>Retain as current controlled baseline.</t>
        </is>
      </c>
      <c r="P8" s="24" t="inlineStr">
        <is>
          <t>https://chatgpt.com/api/library/files/libfile_43204a8a82548191a05d0c20cabf0283/download</t>
        </is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4" customHeight="1">
      <c r="A9" s="2" t="inlineStr">
        <is>
          <t>PLN-CHG-001</t>
        </is>
      </c>
      <c r="B9" s="24" t="inlineStr">
        <is>
          <t>Clean Procurement Planning</t>
        </is>
      </c>
      <c r="C9" s="2" t="inlineStr">
        <is>
          <t>1.27</t>
        </is>
      </c>
      <c r="D9" s="24" t="inlineStr">
        <is>
          <t>Procurement Planning</t>
        </is>
      </c>
      <c r="E9" s="24" t="inlineStr">
        <is>
          <t>Module requirements</t>
        </is>
      </c>
      <c r="F9" s="24" t="inlineStr">
        <is>
          <t>Approved requirement</t>
        </is>
      </c>
      <c r="G9" s="49" t="n">
        <v>46290</v>
      </c>
      <c r="H9" s="24" t="inlineStr">
        <is>
          <t>v1.26 approved 25 September 2026; v1.25 approved 23 September 2026; all earlier Planning specifications</t>
        </is>
      </c>
      <c r="I9" s="24" t="inlineStr">
        <is>
          <t>Not implemented</t>
        </is>
      </c>
      <c r="J9" s="24" t="inlineStr">
        <is>
          <t>Not evidenced</t>
        </is>
      </c>
      <c r="K9" s="24" t="inlineStr">
        <is>
          <t>Not applicable</t>
        </is>
      </c>
      <c r="L9" s="2" t="inlineStr">
        <is>
          <t>Yes</t>
        </is>
      </c>
      <c r="M9" s="24" t="inlineStr">
        <is>
          <t>Complete Planning authority including the current-complete-APP reservation denominator, next-step and journey contract, corrected funding-request blockers, Planning-side budget revision request, hand-off register and Purchase-ready-for-requisition item.</t>
        </is>
      </c>
      <c r="N9" s="24" t="inlineStr">
        <is>
          <t>STR-CHG-001 v1.8; BUD-CHG-001 v1.11; NDS-CHG-001 v1.14; CFG-CHG-002 v0.13+; REQ-CHG-001 v1.12; KT-STD-001 v1.8</t>
        </is>
      </c>
      <c r="O9" s="24" t="inlineStr">
        <is>
          <t>Implement the approved v1.27 runtime and design contracts, including blocker explanations, budget revision hand-off and no-dead-end acceptance.</t>
        </is>
      </c>
      <c r="P9" s="24" t="inlineStr">
        <is>
          <t>https://chatgpt.com/api/library/files/libfile_efd27d9b04ac8191bb06e17aef384d2e/download</t>
        </is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4" customHeight="1">
      <c r="A10" s="2" t="inlineStr">
        <is>
          <t>REQ-CHG-001</t>
        </is>
      </c>
      <c r="B10" s="24" t="inlineStr">
        <is>
          <t>Structured Procurement Requisitions</t>
        </is>
      </c>
      <c r="C10" s="2" t="inlineStr">
        <is>
          <t>1.12</t>
        </is>
      </c>
      <c r="D10" s="24" t="inlineStr">
        <is>
          <t>Procurement Requisitions</t>
        </is>
      </c>
      <c r="E10" s="24" t="inlineStr">
        <is>
          <t>Module requirements</t>
        </is>
      </c>
      <c r="F10" s="24" t="inlineStr">
        <is>
          <t>Approved requirement</t>
        </is>
      </c>
      <c r="G10" s="49" t="n">
        <v>46290</v>
      </c>
      <c r="H10" s="24" t="inlineStr">
        <is>
          <t>v1.11 approved 24 September 2026; v1.9 and earlier; v1.10 remains withdrawn</t>
        </is>
      </c>
      <c r="I10" s="24" t="inlineStr">
        <is>
          <t>Not evidenced</t>
        </is>
      </c>
      <c r="J10" s="24" t="inlineStr">
        <is>
          <t>Not evidenced</t>
        </is>
      </c>
      <c r="K10" s="24" t="inlineStr">
        <is>
          <t>Not applicable</t>
        </is>
      </c>
      <c r="L10" s="2" t="inlineStr">
        <is>
          <t>Yes</t>
        </is>
      </c>
      <c r="M10" s="24" t="inlineStr">
        <is>
          <t>Structured requisition preparation, Planning-created Purchase ready for requisition hand-off, Budget reservation at authorisation and authorised handoff to Tenders.</t>
        </is>
      </c>
      <c r="N10" s="24" t="inlineStr">
        <is>
          <t>PLN-CHG-001 v1.27; BUD-CHG-001 v1.11; TPR-CHG-001; STD-TPL-001; STD-STD-001 v1.1</t>
        </is>
      </c>
      <c r="O10" s="24" t="inlineStr">
        <is>
          <t>Implement the REQ-owned ready-to-start item and verify exact Planning, Budget and Tender contracts.</t>
        </is>
      </c>
      <c r="P10" s="24" t="inlineStr">
        <is>
          <t>https://chatgpt.com/api/library/files/libfile_7fc3b6d8360c8191b1156d352993f7c3/download</t>
        </is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4" customHeight="1">
      <c r="A11" s="2" t="inlineStr">
        <is>
          <t>CFG-CHG-002</t>
        </is>
      </c>
      <c r="B11" s="24" t="inlineStr">
        <is>
          <t>Site Configuration and System Setup</t>
        </is>
      </c>
      <c r="C11" s="2" t="inlineStr">
        <is>
          <t>0.16</t>
        </is>
      </c>
      <c r="D11" s="24" t="inlineStr">
        <is>
          <t>System Setup</t>
        </is>
      </c>
      <c r="E11" s="24" t="inlineStr">
        <is>
          <t>Module requirements</t>
        </is>
      </c>
      <c r="F11" s="24" t="inlineStr">
        <is>
          <t>Project Owner review</t>
        </is>
      </c>
      <c r="G11" s="49" t="n"/>
      <c r="H11" s="24" t="inlineStr">
        <is>
          <t>v0.15 on approval; approved baseline v0.13 remains effective until then</t>
        </is>
      </c>
      <c r="I11" s="24" t="inlineStr">
        <is>
          <t>Planned</t>
        </is>
      </c>
      <c r="J11" s="24" t="inlineStr">
        <is>
          <t>Not evidenced</t>
        </is>
      </c>
      <c r="K11" s="24" t="inlineStr">
        <is>
          <t>Not applicable</t>
        </is>
      </c>
      <c r="L11" s="2" t="inlineStr">
        <is>
          <t>Proposed</t>
        </is>
      </c>
      <c r="M11" s="24" t="inlineStr">
        <is>
          <t>Site, responsibilities, procurement rules, schedules, STD Templates inspection and supplier portal operating settings.</t>
        </is>
      </c>
      <c r="N11" s="24" t="inlineStr">
        <is>
          <t>AUTH-ADR-001; PLN-CHG-001; TPR-CHG-001; BDS-CHG-001; STD-TPL-001</t>
        </is>
      </c>
      <c r="O11" s="24" t="inlineStr">
        <is>
          <t>Project Owner approval, then implement public-portal and STD Templates settings.</t>
        </is>
      </c>
      <c r="P11" s="24" t="inlineStr">
        <is>
          <t>https://chatgpt.com/api/library/files/libfile_e587a6e7587081918df85fee00004930/download</t>
        </is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40" customHeight="1">
      <c r="A12" s="24" t="inlineStr">
        <is>
          <t>TPR-CHG-001</t>
        </is>
      </c>
      <c r="B12" s="24" t="inlineStr">
        <is>
          <t>Tenders</t>
        </is>
      </c>
      <c r="C12" s="24" t="inlineStr">
        <is>
          <t>0.13</t>
        </is>
      </c>
      <c r="D12" s="24" t="inlineStr">
        <is>
          <t>Tender Preparation and Publication</t>
        </is>
      </c>
      <c r="E12" s="24" t="inlineStr">
        <is>
          <t>Module requirements</t>
        </is>
      </c>
      <c r="F12" s="24" t="inlineStr">
        <is>
          <t>Approved requirement</t>
        </is>
      </c>
      <c r="G12" s="50" t="n">
        <v>46293</v>
      </c>
      <c r="H12" s="24" t="inlineStr">
        <is>
          <t>v0.12 approved 26 September 2026; v0.11 proposed, never approved</t>
        </is>
      </c>
      <c r="I12" s="24" t="inlineStr">
        <is>
          <t>Planned</t>
        </is>
      </c>
      <c r="J12" s="24" t="inlineStr">
        <is>
          <t>Not evidenced</t>
        </is>
      </c>
      <c r="K12" s="24" t="inlineStr">
        <is>
          <t>Not applicable</t>
        </is>
      </c>
      <c r="L12" s="24" t="inlineStr">
        <is>
          <t>Yes</t>
        </is>
      </c>
      <c r="M12" s="24" t="inlineStr">
        <is>
          <t>Approved Tender preparation, approval, publication, clarifications, addenda, cancellation, exact bound STD-release lifecycle including published Superseded/Withdrawn behavior, and KT-STD-001 v1.8 journey guidance.</t>
        </is>
      </c>
      <c r="N12" s="24" t="inlineStr">
        <is>
          <t>REQ-CHG-001 v1.12; CFG-CHG-002 v0.16; STD-TPL-001 v0.10; STD-TPL-IMP-001 v1.1; BDS-CHG-001 v0.8; BOP-CHG-001 v0.10 and PRC-CHG-001 v0.9 proposed for post-close cancellation; Award-status owner pending</t>
        </is>
      </c>
      <c r="O12" s="24" t="inlineStr">
        <is>
          <t>Review proposed v0.15: publication preparation event/read and scope/replay binding. Retains unapproved v0.14 cancellation seam; legal ground and award-status dependencies remain open. Approved v0.13 retained.</t>
        </is>
      </c>
      <c r="P12" s="24" t="inlineStr">
        <is>
          <t>https://chatgpt.com/api/library/files/libfile_6aaf080652a08191a8796a086f31b59c/download</t>
        </is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40" customHeight="1">
      <c r="A13" s="24" t="inlineStr">
        <is>
          <t>BDS-CHG-001</t>
        </is>
      </c>
      <c r="B13" s="24" t="inlineStr">
        <is>
          <t>Supplier Portal and Electronic Bid Submission</t>
        </is>
      </c>
      <c r="C13" s="24" t="inlineStr">
        <is>
          <t>0.8</t>
        </is>
      </c>
      <c r="D13" s="24" t="inlineStr">
        <is>
          <t>Supplier/Bidder Workspace and Bid Submission</t>
        </is>
      </c>
      <c r="E13" s="24" t="inlineStr">
        <is>
          <t>Module requirements</t>
        </is>
      </c>
      <c r="F13" s="24" t="inlineStr">
        <is>
          <t>Approved requirement</t>
        </is>
      </c>
      <c r="G13" s="50" t="n">
        <v>46291</v>
      </c>
      <c r="H13" s="24" t="inlineStr">
        <is>
          <t>v0.7 proposed, never approved; v0.6 and earlier historical</t>
        </is>
      </c>
      <c r="I13" s="24" t="inlineStr">
        <is>
          <t>Planned</t>
        </is>
      </c>
      <c r="J13" s="24" t="inlineStr">
        <is>
          <t>Not evidenced</t>
        </is>
      </c>
      <c r="K13" s="24" t="inlineStr">
        <is>
          <t>Blocked</t>
        </is>
      </c>
      <c r="L13" s="24" t="inlineStr">
        <is>
          <t>Yes</t>
        </is>
      </c>
      <c r="M13" s="24" t="inlineStr">
        <is>
          <t>Public discovery, supplier Account, structured Goods/IT bid preparation, signature, receipt, replacement and sealed Bid Opening handoff, with actor-specific guidance and bound STD-release controls.</t>
        </is>
      </c>
      <c r="N13" s="24" t="inlineStr">
        <is>
          <t>TPR-CHG-001 v0.13; STD-TPL-001 v0.10; STD-TPL-IMP-001 v1.1; CFG-CHG-002 v0.16; AUTH-ADR-001 v1.10; KT-STD-001 v1.8; G1-REG-001 v1.1</t>
        </is>
      </c>
      <c r="O13" s="24" t="inlineStr">
        <is>
          <t>Review proposed v0.10: exact opened-bid read and EVL-owned supplier clarification view. Retains unapproved v0.9 receipt correction. Approved v0.8 and production gates retained.</t>
        </is>
      </c>
      <c r="P13" s="24" t="inlineStr">
        <is>
          <t>https://chatgpt.com/api/library/files/libfile_7252e90793e4819199bca1d68fab4457/download</t>
        </is>
      </c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44" customHeight="1">
      <c r="A14" s="2" t="inlineStr">
        <is>
          <t>STD-TPL-001</t>
        </is>
      </c>
      <c r="B14" s="24" t="inlineStr">
        <is>
          <t>IT Equipment Tender Template Curation and Release Pack</t>
        </is>
      </c>
      <c r="C14" s="2" t="inlineStr">
        <is>
          <t>0.10</t>
        </is>
      </c>
      <c r="D14" s="24" t="inlineStr">
        <is>
          <t>STD Templates</t>
        </is>
      </c>
      <c r="E14" s="24" t="inlineStr">
        <is>
          <t>Template standard</t>
        </is>
      </c>
      <c r="F14" s="24" t="inlineStr">
        <is>
          <t>Approved requirement</t>
        </is>
      </c>
      <c r="G14" s="49" t="n">
        <v>46291</v>
      </c>
      <c r="H14" s="24" t="inlineStr">
        <is>
          <t>v0.9 and earlier</t>
        </is>
      </c>
      <c r="I14" s="24" t="inlineStr">
        <is>
          <t>Planned</t>
        </is>
      </c>
      <c r="J14" s="24" t="inlineStr">
        <is>
          <t>Pending</t>
        </is>
      </c>
      <c r="K14" s="24" t="inlineStr">
        <is>
          <t>Candidate</t>
        </is>
      </c>
      <c r="L14" s="2" t="inlineStr">
        <is>
          <t>Yes</t>
        </is>
      </c>
      <c r="M14" s="24" t="inlineStr">
        <is>
          <t>Controlled template content and construction, installed integrity, administrative inspection and Administrator On/Off switch for new Tender binding.</t>
        </is>
      </c>
      <c r="N14" s="24" t="inlineStr">
        <is>
          <t>KT-STD-001 v1.8; REQ-CHG-001 v1.12; TPR-CHG-001 v0.12; STD-TPL-IMP-001 v1.1 approved; BDS-CHG-001 v0.7; CFG-CHG-002 v0.16</t>
        </is>
      </c>
      <c r="O14" s="24" t="inlineStr">
        <is>
          <t>Finish and verify release 1.1 assets; install the compatible digest-matched bundle On by default or Off by deployment request. No separate manifest approval.</t>
        </is>
      </c>
      <c r="P14" s="24" t="inlineStr">
        <is>
          <t>https://chatgpt.com/api/library/files/libfile_9a03e6ea43d88191938445a1a04d99b1/download</t>
        </is>
      </c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4" customHeight="1">
      <c r="A15" s="2" t="inlineStr">
        <is>
          <t>STD-TPL-IMP-001</t>
        </is>
      </c>
      <c r="B15" s="24" t="inlineStr">
        <is>
          <t>Installed STD Template Runtime</t>
        </is>
      </c>
      <c r="C15" s="2" t="inlineStr">
        <is>
          <t>1.1</t>
        </is>
      </c>
      <c r="D15" s="24" t="inlineStr">
        <is>
          <t>STD Templates</t>
        </is>
      </c>
      <c r="E15" s="24" t="inlineStr">
        <is>
          <t>Implementation authority</t>
        </is>
      </c>
      <c r="F15" s="24" t="inlineStr">
        <is>
          <t>Approved requirement</t>
        </is>
      </c>
      <c r="G15" s="49" t="n">
        <v>46291</v>
      </c>
      <c r="H15" s="24" t="inlineStr">
        <is>
          <t>v1.0 proposed but never approved; v0.2 historical</t>
        </is>
      </c>
      <c r="I15" s="24" t="inlineStr">
        <is>
          <t>Planned</t>
        </is>
      </c>
      <c r="J15" s="24" t="inlineStr">
        <is>
          <t>Not started</t>
        </is>
      </c>
      <c r="K15" s="24" t="inlineStr">
        <is>
          <t>Not applicable</t>
        </is>
      </c>
      <c r="L15" s="2" t="inlineStr">
        <is>
          <t>Yes</t>
        </is>
      </c>
      <c r="M15" s="24" t="inlineStr">
        <is>
          <t>Immutable installed-release runtime, verified installation, shared compiler, renderer adapters, inspection and deployment-only per-site On/Off switch.</t>
        </is>
      </c>
      <c r="N15" s="24" t="inlineStr">
        <is>
          <t>STD-TPL-001 v0.10; TPR-CHG-001 v0.12; BDS-CHG-001 v0.7; AUTH-ADR-001 v1.10; KT-STD-001 v1.8</t>
        </is>
      </c>
      <c r="O15" s="24" t="inlineStr">
        <is>
          <t>Implement approved v1.1; reconcile TPR, REQ, BDS and Gate 1 references to OD5. The bundle remains uninstalled and unverified.</t>
        </is>
      </c>
      <c r="P15" s="24" t="inlineStr">
        <is>
          <t>https://chatgpt.com/api/library/files/libfile_87bca073b1b081918cc5cefdff08adcc/download</t>
        </is>
      </c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110" customHeight="1">
      <c r="A16" s="24" t="inlineStr">
        <is>
          <t>KT-STD-001</t>
        </is>
      </c>
      <c r="B16" s="24" t="inlineStr">
        <is>
          <t>Document, Design and Verification Standards</t>
        </is>
      </c>
      <c r="C16" s="24" t="inlineStr">
        <is>
          <t>1.12</t>
        </is>
      </c>
      <c r="D16" s="24" t="inlineStr">
        <is>
          <t>All</t>
        </is>
      </c>
      <c r="E16" s="24" t="inlineStr">
        <is>
          <t>Cross-cutting standard</t>
        </is>
      </c>
      <c r="F16" s="24" t="inlineStr">
        <is>
          <t>Approved requirement</t>
        </is>
      </c>
      <c r="G16" s="50" t="n">
        <v>46295</v>
      </c>
      <c r="H16" s="24" t="inlineStr">
        <is>
          <t>v1.11 and earlier</t>
        </is>
      </c>
      <c r="I16" s="24" t="inlineStr">
        <is>
          <t>Not applicable</t>
        </is>
      </c>
      <c r="J16" s="24" t="inlineStr">
        <is>
          <t>Passed</t>
        </is>
      </c>
      <c r="K16" s="24" t="inlineStr">
        <is>
          <t>Not applicable</t>
        </is>
      </c>
      <c r="L16" s="24" t="inlineStr">
        <is>
          <t>Yes</t>
        </is>
      </c>
      <c r="M16" s="24" t="inlineStr">
        <is>
          <t>Current cross-cutting standard, including plain language, minimum steps, Scheduled next step and actor/state/event conformance; v1.11 adds the §8.3 fixture actors Daniel Otieno (technical operator) and Jane Wanjiku (public observer), and v1.12 adds Nadia Kamau (release operator); retains earlier design and verification rules.</t>
        </is>
      </c>
      <c r="N16" s="24" t="inlineStr">
        <is>
          <t>Workflow Guidance Standard; all controlled change documents</t>
        </is>
      </c>
      <c r="O16" s="24" t="inlineStr">
        <is>
          <t>Review proposed v1.13: register Evaluation actors and Brian’s separate secretary capacity. No automatic appointment or expanded support access. Approved v1.12 retained.</t>
        </is>
      </c>
      <c r="P16" s="24" t="inlineStr">
        <is>
          <t>https://chatgpt.com/api/library/files/libfile_4f7bf3bc8c0c8191b1e3ff2e2f3916da/download</t>
        </is>
      </c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44" customHeight="1">
      <c r="A17" s="2" t="inlineStr">
        <is>
          <t>AUTH-ADR-001</t>
        </is>
      </c>
      <c r="B17" s="24" t="inlineStr">
        <is>
          <t>Role-Bound Business Responsibility and Organisational Scope</t>
        </is>
      </c>
      <c r="C17" s="2" t="inlineStr">
        <is>
          <t>1.10</t>
        </is>
      </c>
      <c r="D17" s="24" t="inlineStr">
        <is>
          <t>Identity and Access</t>
        </is>
      </c>
      <c r="E17" s="24" t="inlineStr">
        <is>
          <t>Architecture decision record</t>
        </is>
      </c>
      <c r="F17" s="24" t="inlineStr">
        <is>
          <t>Project Owner review</t>
        </is>
      </c>
      <c r="G17" s="49" t="n"/>
      <c r="H17" s="24" t="inlineStr">
        <is>
          <t>v1.9 after approval; v1.9 remains effective until then</t>
        </is>
      </c>
      <c r="I17" s="24" t="inlineStr">
        <is>
          <t>Not evidenced</t>
        </is>
      </c>
      <c r="J17" s="24" t="inlineStr">
        <is>
          <t>Not evidenced</t>
        </is>
      </c>
      <c r="K17" s="24" t="inlineStr">
        <is>
          <t>Not applicable</t>
        </is>
      </c>
      <c r="L17" s="2" t="inlineStr">
        <is>
          <t>Proposed</t>
        </is>
      </c>
      <c r="M17" s="24" t="inlineStr">
        <is>
          <t>Approved v1.9 responsibility model plus bounded, non-authoritative STD-template inspection and concern access for Procurement Officer and HOPF.</t>
        </is>
      </c>
      <c r="N17" s="24" t="inlineStr">
        <is>
          <t>CFG-CHG-002 v0.16; STD-TPL-001 v0.10; all role-aware modules</t>
        </is>
      </c>
      <c r="O17" s="24" t="inlineStr">
        <is>
          <t>Approve the narrow v1.10 visibility successor; do not broaden Technical record search or template lifecycle authority.</t>
        </is>
      </c>
      <c r="P17" s="24" t="inlineStr">
        <is>
          <t>https://chatgpt.com/api/library/files/libfile_177096acafa48191a78718d3872b3d79/download</t>
        </is>
      </c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44" customHeight="1">
      <c r="A18" s="2" t="inlineStr">
        <is>
          <t>LAW-REG-001</t>
        </is>
      </c>
      <c r="B18" s="24" t="inlineStr">
        <is>
          <t>Statutory Correction Register</t>
        </is>
      </c>
      <c r="C18" s="2" t="inlineStr">
        <is>
          <t>1.2</t>
        </is>
      </c>
      <c r="D18" s="24" t="inlineStr">
        <is>
          <t>Cross-cutting law</t>
        </is>
      </c>
      <c r="E18" s="24" t="inlineStr">
        <is>
          <t>Statutory register</t>
        </is>
      </c>
      <c r="F18" s="24" t="inlineStr">
        <is>
          <t>Approved requirement</t>
        </is>
      </c>
      <c r="G18" s="49" t="n">
        <v>46288</v>
      </c>
      <c r="H18" s="24" t="inlineStr">
        <is>
          <t>v1.1 where corrected</t>
        </is>
      </c>
      <c r="I18" s="24" t="inlineStr">
        <is>
          <t>Not applicable</t>
        </is>
      </c>
      <c r="J18" s="24" t="inlineStr">
        <is>
          <t>Passed</t>
        </is>
      </c>
      <c r="K18" s="24" t="inlineStr">
        <is>
          <t>Not applicable</t>
        </is>
      </c>
      <c r="L18" s="2" t="inlineStr">
        <is>
          <t>Yes</t>
        </is>
      </c>
      <c r="M18" s="24" t="inlineStr">
        <is>
          <t>Controlling legal corrections including the 30% reservation interpretation.</t>
        </is>
      </c>
      <c r="N18" s="24" t="inlineStr">
        <is>
          <t>BUD-CHG-001; PLN-CHG-001; REQ-CHG-001; TPR-CHG-001; BDS-CHG-001</t>
        </is>
      </c>
      <c r="O18" s="24" t="inlineStr">
        <is>
          <t>Use as the legal correction authority during implementation review.</t>
        </is>
      </c>
      <c r="P18" s="24" t="inlineStr">
        <is>
          <t>https://chatgpt.com/api/library/files/libfile_c19ced3db1288191b591bf4e43eb6573/download</t>
        </is>
      </c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44" customHeight="1">
      <c r="A19" s="2" t="inlineStr">
        <is>
          <t>SEED-001</t>
        </is>
      </c>
      <c r="B19" s="24" t="inlineStr">
        <is>
          <t>Harmonized End-to-End Fixture</t>
        </is>
      </c>
      <c r="C19" s="2" t="inlineStr">
        <is>
          <t>1.3</t>
        </is>
      </c>
      <c r="D19" s="24" t="inlineStr">
        <is>
          <t>Cross-module</t>
        </is>
      </c>
      <c r="E19" s="24" t="inlineStr">
        <is>
          <t>Fixture standard</t>
        </is>
      </c>
      <c r="F19" s="24" t="inlineStr">
        <is>
          <t>Approved requirement</t>
        </is>
      </c>
      <c r="G19" s="49" t="n">
        <v>46277</v>
      </c>
      <c r="H19" s="24" t="inlineStr">
        <is>
          <t>v1.2 and earlier</t>
        </is>
      </c>
      <c r="I19" s="24" t="inlineStr">
        <is>
          <t>Not evidenced</t>
        </is>
      </c>
      <c r="J19" s="24" t="inlineStr">
        <is>
          <t>Pending</t>
        </is>
      </c>
      <c r="K19" s="24" t="inlineStr">
        <is>
          <t>Not applicable</t>
        </is>
      </c>
      <c r="L19" s="2" t="inlineStr">
        <is>
          <t>Yes</t>
        </is>
      </c>
      <c r="M19" s="24" t="inlineStr">
        <is>
          <t>Shared deterministic actors, dates, values and identities across modules.</t>
        </is>
      </c>
      <c r="N19" s="24" t="inlineStr">
        <is>
          <t>All modules</t>
        </is>
      </c>
      <c r="O19" s="24" t="inlineStr">
        <is>
          <t>Reconcile to the reservation correction and Gate 1 public/vendor documents before integrated verification.</t>
        </is>
      </c>
      <c r="P19" s="24" t="inlineStr">
        <is>
          <t>https://chatgpt.com/api/library/files/libfile_a5c959436ba48191912c97c010513fdb/download</t>
        </is>
      </c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44" customHeight="1">
      <c r="A20" s="2" t="inlineStr">
        <is>
          <t>G1-REG-001</t>
        </is>
      </c>
      <c r="B20" s="24" t="inlineStr">
        <is>
          <t>Public/Vendor MVP Closure and Implementation Handoff</t>
        </is>
      </c>
      <c r="C20" s="2" t="inlineStr">
        <is>
          <t>1.1</t>
        </is>
      </c>
      <c r="D20" s="24" t="inlineStr">
        <is>
          <t>Gate 1</t>
        </is>
      </c>
      <c r="E20" s="24" t="inlineStr">
        <is>
          <t>Implementation handoff</t>
        </is>
      </c>
      <c r="F20" s="24" t="inlineStr">
        <is>
          <t>Project Owner review</t>
        </is>
      </c>
      <c r="G20" s="49" t="n"/>
      <c r="H20" s="24" t="inlineStr">
        <is>
          <t>v1.0 on approval</t>
        </is>
      </c>
      <c r="I20" s="24" t="inlineStr">
        <is>
          <t>Planned</t>
        </is>
      </c>
      <c r="J20" s="24" t="inlineStr">
        <is>
          <t>Not evidenced</t>
        </is>
      </c>
      <c r="K20" s="24" t="inlineStr">
        <is>
          <t>Blocked</t>
        </is>
      </c>
      <c r="L20" s="2" t="inlineStr">
        <is>
          <t>Proposed</t>
        </is>
      </c>
      <c r="M20" s="24" t="inlineStr">
        <is>
          <t>Reconciled implementation sequence from public discovery through sealed Bid Submission, including the installed STD runtime and in-flight release lifecycle.</t>
        </is>
      </c>
      <c r="N20" s="24" t="inlineStr">
        <is>
          <t>CFG v0.16; STD-TPL v0.10; STD-TPL-IMP v1.0; TPR v0.11; BDS v0.7; REQ v1.12; PLN v1.27; BUD v1.11; AUTH v1.10; KT-STD v1.8</t>
        </is>
      </c>
      <c r="O20" s="24" t="inlineStr">
        <is>
          <t>Approve as the implementation control for the current public/vendor slice.</t>
        </is>
      </c>
      <c r="P20" s="24" t="inlineStr">
        <is>
          <t>https://chatgpt.com/api/library/files/libfile_f8ffd7bdcf1c8191b434d098ba12e93b/download</t>
        </is>
      </c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10" customHeight="1">
      <c r="A21" s="24" t="inlineStr">
        <is>
          <t>KT-RCA-001</t>
        </is>
      </c>
      <c r="B21" s="24" t="inlineStr">
        <is>
          <t>Roadmap Coverage Assessment</t>
        </is>
      </c>
      <c r="C21" s="24" t="inlineStr">
        <is>
          <t>1.2</t>
        </is>
      </c>
      <c r="D21" s="24" t="inlineStr">
        <is>
          <t>Programme</t>
        </is>
      </c>
      <c r="E21" s="24" t="inlineStr">
        <is>
          <t>Programme assessment</t>
        </is>
      </c>
      <c r="F21" s="24" t="inlineStr">
        <is>
          <t>Directional</t>
        </is>
      </c>
      <c r="G21" s="50" t="n"/>
      <c r="H21" s="24" t="inlineStr">
        <is>
          <t>v1.1</t>
        </is>
      </c>
      <c r="I21" s="24" t="inlineStr">
        <is>
          <t>Not applicable</t>
        </is>
      </c>
      <c r="J21" s="24" t="inlineStr">
        <is>
          <t>Not applicable</t>
        </is>
      </c>
      <c r="K21" s="24" t="inlineStr">
        <is>
          <t>Not applicable</t>
        </is>
      </c>
      <c r="L21" s="24" t="inlineStr">
        <is>
          <t>No</t>
        </is>
      </c>
      <c r="M21" s="24" t="inlineStr">
        <is>
          <t>Coverage through approved Bid Opening v0.10 and Evaluation v0.4; Award next, followed by Supplier Management. Proposed coordinated amendments and production gates remain distinct.</t>
        </is>
      </c>
      <c r="N21" s="24" t="inlineStr">
        <is>
          <t>Source roadmap; current controlled baseline</t>
        </is>
      </c>
      <c r="O21" s="24" t="inlineStr">
        <is>
          <t>Use v1.2 for programme sequencing: Award next. Directional assessment only; preserves owner approvals, Gate 1 boundary and outstanding integration/release work.</t>
        </is>
      </c>
      <c r="P21" s="24" t="inlineStr">
        <is>
          <t>https://chatgpt.com/api/library/files/libfile_483ff064d904819188eaf4179672fb39/download</t>
        </is>
      </c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44" customHeight="1">
      <c r="A22" s="2" t="inlineStr">
        <is>
          <t>RES-IMP-001</t>
        </is>
      </c>
      <c r="B22" s="24" t="inlineStr">
        <is>
          <t>Reservation Correction Implementation Handoff</t>
        </is>
      </c>
      <c r="C22" s="2" t="inlineStr">
        <is>
          <t>1.0</t>
        </is>
      </c>
      <c r="D22" s="24" t="inlineStr">
        <is>
          <t>Cross-module reservation</t>
        </is>
      </c>
      <c r="E22" s="24" t="inlineStr">
        <is>
          <t>Implementation handoff</t>
        </is>
      </c>
      <c r="F22" s="24" t="inlineStr">
        <is>
          <t>Project Owner review</t>
        </is>
      </c>
      <c r="G22" s="49" t="n"/>
      <c r="H22" s="24" t="str"/>
      <c r="I22" s="24" t="inlineStr">
        <is>
          <t>Planned</t>
        </is>
      </c>
      <c r="J22" s="24" t="inlineStr">
        <is>
          <t>Not evidenced</t>
        </is>
      </c>
      <c r="K22" s="24" t="inlineStr">
        <is>
          <t>Not applicable</t>
        </is>
      </c>
      <c r="L22" s="2" t="inlineStr">
        <is>
          <t>Proposed</t>
        </is>
      </c>
      <c r="M22" s="24" t="inlineStr">
        <is>
          <t>Functional and design correction for the statutory reservation denominator and downstream propagation.</t>
        </is>
      </c>
      <c r="N22" s="24" t="inlineStr">
        <is>
          <t>LAW-REG-001; PLN-CHG-001; REQ-CHG-001; TPR-CHG-001; BDS-CHG-001</t>
        </is>
      </c>
      <c r="O22" s="24" t="inlineStr">
        <is>
          <t>Reconcile stale downstream version references before using it as an implementation checklist.</t>
        </is>
      </c>
      <c r="P22" s="24" t="inlineStr">
        <is>
          <t>https://chatgpt.com/api/library/files/libfile_ecce449ece2081919d35d737bb7dd314/download</t>
        </is>
      </c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44" customHeight="1">
      <c r="A23" s="2" t="inlineStr">
        <is>
          <t>WFG-STD</t>
        </is>
      </c>
      <c r="B23" s="24" t="inlineStr">
        <is>
          <t>KenTender Workflow Guidance Standard</t>
        </is>
      </c>
      <c r="C23" s="2" t="inlineStr">
        <is>
          <t>Unversioned approved source</t>
        </is>
      </c>
      <c r="D23" s="24" t="inlineStr">
        <is>
          <t>Cross-module UX and workflow</t>
        </is>
      </c>
      <c r="E23" s="24" t="inlineStr">
        <is>
          <t>Approved source standard</t>
        </is>
      </c>
      <c r="F23" s="24" t="inlineStr">
        <is>
          <t>Approved reference</t>
        </is>
      </c>
      <c r="G23" s="49" t="n">
        <v>46290</v>
      </c>
      <c r="H23" s="24" t="str"/>
      <c r="I23" s="24" t="inlineStr">
        <is>
          <t>Planned</t>
        </is>
      </c>
      <c r="J23" s="24" t="inlineStr">
        <is>
          <t>Not evidenced</t>
        </is>
      </c>
      <c r="K23" s="24" t="inlineStr">
        <is>
          <t>Not applicable</t>
        </is>
      </c>
      <c r="L23" s="2" t="inlineStr">
        <is>
          <t>Yes—through KT-STD-001 v1.9 and module adoption</t>
        </is>
      </c>
      <c r="M23" s="24" t="inlineStr">
        <is>
          <t>Defines the no-dead-ends test, shared next-step response, My Work hand-off coverage, restrained journey tracker and Home guidance using the Planning over-budget case.</t>
        </is>
      </c>
      <c r="N23" s="24" t="inlineStr">
        <is>
          <t>KT-STD-001 v1.9; module-specific adoption</t>
        </is>
      </c>
      <c r="O23" s="24" t="inlineStr">
        <is>
          <t>Retain as approved provenance. Implement operative wording from KT-STD-001 v1.9 and each current module document.</t>
        </is>
      </c>
      <c r="P23" s="24" t="inlineStr">
        <is>
          <t>https://chatgpt.com/api/library/files/libfile_ac20011f049881919843681b0461c5cb/download</t>
        </is>
      </c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44" customHeight="1">
      <c r="A24" s="2" t="inlineStr">
        <is>
          <t>PLN-JOURNEY-REF</t>
        </is>
      </c>
      <c r="B24" s="24" t="inlineStr">
        <is>
          <t>PLN-CHG-001 Next-step and journey content</t>
        </is>
      </c>
      <c r="C24" s="2" t="inlineStr">
        <is>
          <t>Draft input dated 2026-09-25</t>
        </is>
      </c>
      <c r="D24" s="24" t="inlineStr">
        <is>
          <t>Procurement Planning</t>
        </is>
      </c>
      <c r="E24" s="24" t="inlineStr">
        <is>
          <t>Module amendment source</t>
        </is>
      </c>
      <c r="F24" s="24" t="inlineStr">
        <is>
          <t>Historical provenance</t>
        </is>
      </c>
      <c r="G24" s="49" t="n"/>
      <c r="H24" s="24" t="inlineStr">
        <is>
          <t>Absorbed by approved PLN-CHG-001 v1.26 and v1.27</t>
        </is>
      </c>
      <c r="I24" s="24" t="inlineStr">
        <is>
          <t>Not applicable</t>
        </is>
      </c>
      <c r="J24" s="24" t="inlineStr">
        <is>
          <t>Not applicable</t>
        </is>
      </c>
      <c r="K24" s="24" t="inlineStr">
        <is>
          <t>Not applicable</t>
        </is>
      </c>
      <c r="L24" s="2" t="inlineStr">
        <is>
          <t>No</t>
        </is>
      </c>
      <c r="M24" s="24" t="inlineStr">
        <is>
          <t>Draft wording and per-screen next-step/journey proposal used to prepare Planning v1.26.</t>
        </is>
      </c>
      <c r="N24" s="24" t="inlineStr">
        <is>
          <t>Workflow Guidance Standard; KT-STD-001 v1.8; PLN-CHG-001 v1.25</t>
        </is>
      </c>
      <c r="O24" s="24" t="inlineStr">
        <is>
          <t>Do not use as a separate implementation authority; retain only as provenance for PLN v1.27.</t>
        </is>
      </c>
      <c r="P24" s="24" t="inlineStr">
        <is>
          <t>https://chatgpt.com/api/library/files/libfile_4453ef182d708191846615aaff160810/download</t>
        </is>
      </c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44" customHeight="1">
      <c r="A25" s="2" t="inlineStr">
        <is>
          <t>ISSUE-UJ-001</t>
        </is>
      </c>
      <c r="B25" s="24" t="inlineStr">
        <is>
          <t>Opaqueness in the user journey</t>
        </is>
      </c>
      <c r="C25" s="2" t="inlineStr">
        <is>
          <t>Issue record dated 2026-09-25</t>
        </is>
      </c>
      <c r="D25" s="24" t="inlineStr">
        <is>
          <t>Cross-module UX and workflow</t>
        </is>
      </c>
      <c r="E25" s="24" t="inlineStr">
        <is>
          <t>Issue and recommendation evidence</t>
        </is>
      </c>
      <c r="F25" s="24" t="inlineStr">
        <is>
          <t>Issue evidence</t>
        </is>
      </c>
      <c r="G25" s="49" t="n"/>
      <c r="H25" s="24" t="str"/>
      <c r="I25" s="24" t="inlineStr">
        <is>
          <t>Not applicable</t>
        </is>
      </c>
      <c r="J25" s="24" t="inlineStr">
        <is>
          <t>Not applicable</t>
        </is>
      </c>
      <c r="K25" s="24" t="inlineStr">
        <is>
          <t>Not applicable</t>
        </is>
      </c>
      <c r="L25" s="2" t="inlineStr">
        <is>
          <t>No</t>
        </is>
      </c>
      <c r="M25" s="24" t="inlineStr">
        <is>
          <t>Records the over-budget Planning dead end and recommends a no-dead-ends test, shared next-step block, complete My Work hand-offs, journey tracking and a useful Home page.</t>
        </is>
      </c>
      <c r="N25" s="24" t="inlineStr">
        <is>
          <t>Workflow Guidance Standard; KT-STD-001 v1.8; PLN-CHG-001 v1.27</t>
        </is>
      </c>
      <c r="O25" s="24" t="inlineStr">
        <is>
          <t>Retain as evidence of the defect and recommendation; implement only through approved standards and module documents.</t>
        </is>
      </c>
      <c r="P25" s="24" t="inlineStr">
        <is>
          <t>https://chatgpt.com/api/library/files/libfile_cb7fa45e06648191a017461fc2ff2480/download</t>
        </is>
      </c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44" customHeight="1">
      <c r="A26" s="2" t="inlineStr">
        <is>
          <t>ROADMAP-SRC</t>
        </is>
      </c>
      <c r="B26" s="24" t="inlineStr">
        <is>
          <t>KenTender ePublic Milestone Overview</t>
        </is>
      </c>
      <c r="C26" s="2" t="inlineStr">
        <is>
          <t>2</t>
        </is>
      </c>
      <c r="D26" s="24" t="inlineStr">
        <is>
          <t>Programme</t>
        </is>
      </c>
      <c r="E26" s="24" t="inlineStr">
        <is>
          <t>Source roadmap</t>
        </is>
      </c>
      <c r="F26" s="24" t="inlineStr">
        <is>
          <t>Directional</t>
        </is>
      </c>
      <c r="G26" s="49" t="n"/>
      <c r="H26" s="24" t="str"/>
      <c r="I26" s="24" t="inlineStr">
        <is>
          <t>Not applicable</t>
        </is>
      </c>
      <c r="J26" s="24" t="inlineStr">
        <is>
          <t>Not applicable</t>
        </is>
      </c>
      <c r="K26" s="24" t="inlineStr">
        <is>
          <t>Not applicable</t>
        </is>
      </c>
      <c r="L26" s="2" t="inlineStr">
        <is>
          <t>No</t>
        </is>
      </c>
      <c r="M26" s="24" t="inlineStr">
        <is>
          <t>Initial client roadmap and milestone intent.</t>
        </is>
      </c>
      <c r="N26" s="24" t="inlineStr">
        <is>
          <t>KT-RCA-001</t>
        </is>
      </c>
      <c r="O26" s="24" t="inlineStr">
        <is>
          <t>Retain as source context; resolve implementation from controlled module documents.</t>
        </is>
      </c>
      <c r="P26" s="24" t="inlineStr">
        <is>
          <t>https://chatgpt.com/api/library/files/libfile_a58ca41f1fb88191a0431e50ae42ef1b/download</t>
        </is>
      </c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44" customHeight="1">
      <c r="A27" s="2" t="inlineStr">
        <is>
          <t>IT-EQUIPMENT-OPEN-V1</t>
        </is>
      </c>
      <c r="B27" s="24" t="inlineStr">
        <is>
          <t>IT Equipment Open Tender Release Bundle</t>
        </is>
      </c>
      <c r="C27" s="2" t="inlineStr">
        <is>
          <t>candidate</t>
        </is>
      </c>
      <c r="D27" s="24" t="inlineStr">
        <is>
          <t>STD Templates</t>
        </is>
      </c>
      <c r="E27" s="24" t="inlineStr">
        <is>
          <t>Release artifact</t>
        </is>
      </c>
      <c r="F27" s="24" t="inlineStr">
        <is>
          <t>Release artifact</t>
        </is>
      </c>
      <c r="G27" s="49" t="n"/>
      <c r="H27" s="24" t="str"/>
      <c r="I27" s="24" t="inlineStr">
        <is>
          <t>Implemented</t>
        </is>
      </c>
      <c r="J27" s="24" t="inlineStr">
        <is>
          <t>Pending</t>
        </is>
      </c>
      <c r="K27" s="24" t="inlineStr">
        <is>
          <t>Candidate</t>
        </is>
      </c>
      <c r="L27" s="2" t="inlineStr">
        <is>
          <t>No</t>
        </is>
      </c>
      <c r="M27" s="24" t="inlineStr">
        <is>
          <t>Earlier candidate ZIP; requires reconciliation to amended STD-TPL-001 v0.10 before installation and Administrator On.</t>
        </is>
      </c>
      <c r="N27" s="24" t="inlineStr">
        <is>
          <t>STD-TPL-001 v0.10; STD-TPL-IMP-001 v1.1</t>
        </is>
      </c>
      <c r="O27" s="24" t="inlineStr">
        <is>
          <t>Rebuild and verify the bundle and renderer compatibility; do not treat this earlier ZIP as installed or On.</t>
        </is>
      </c>
      <c r="P27" s="24" t="inlineStr">
        <is>
          <t>https://chatgpt.com/api/library/files/libfile_7350870ee594819189729148528d97d7/download</t>
        </is>
      </c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44" customHeight="1">
      <c r="A28" s="2" t="inlineStr">
        <is>
          <t>STD-STD-001</t>
        </is>
      </c>
      <c r="B28" s="24" t="inlineStr">
        <is>
          <t>Referenced structured-tender standard</t>
        </is>
      </c>
      <c r="C28" s="2" t="inlineStr">
        <is>
          <t>1.1</t>
        </is>
      </c>
      <c r="D28" s="24" t="inlineStr">
        <is>
          <t>Tenders/Bids</t>
        </is>
      </c>
      <c r="E28" s="24" t="inlineStr">
        <is>
          <t>Referenced standard</t>
        </is>
      </c>
      <c r="F28" s="24" t="inlineStr">
        <is>
          <t>Referenced—unresolved</t>
        </is>
      </c>
      <c r="G28" s="49" t="n"/>
      <c r="H28" s="24" t="str"/>
      <c r="I28" s="24" t="inlineStr">
        <is>
          <t>Not evidenced</t>
        </is>
      </c>
      <c r="J28" s="24" t="inlineStr">
        <is>
          <t>Not evidenced</t>
        </is>
      </c>
      <c r="K28" s="24" t="inlineStr">
        <is>
          <t>Blocked</t>
        </is>
      </c>
      <c r="L28" s="2" t="inlineStr">
        <is>
          <t>Unknown</t>
        </is>
      </c>
      <c r="M28" s="24" t="inlineStr">
        <is>
          <t>Referenced by current documents but the exact controlled file was not resolved in the admitted set.</t>
        </is>
      </c>
      <c r="N28" s="24" t="inlineStr">
        <is>
          <t>STD-TPL-001; TPR-CHG-001; BDS-CHG-001</t>
        </is>
      </c>
      <c r="O28" s="24" t="inlineStr">
        <is>
          <t>Locate or admit the exact v1.1 controlled file, then reconcile its authority and dependencies.</t>
        </is>
      </c>
      <c r="P28" s="24" t="str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44" customHeight="1">
      <c r="A29" s="2" t="inlineStr">
        <is>
          <t>STD-ST-001</t>
        </is>
      </c>
      <c r="B29" s="24" t="inlineStr">
        <is>
          <t>Referenced stress-test standard</t>
        </is>
      </c>
      <c r="C29" s="2" t="inlineStr">
        <is>
          <t>0.5</t>
        </is>
      </c>
      <c r="D29" s="24" t="inlineStr">
        <is>
          <t>Verification</t>
        </is>
      </c>
      <c r="E29" s="24" t="inlineStr">
        <is>
          <t>Referenced standard</t>
        </is>
      </c>
      <c r="F29" s="24" t="inlineStr">
        <is>
          <t>Referenced—unresolved</t>
        </is>
      </c>
      <c r="G29" s="49" t="n"/>
      <c r="H29" s="24" t="inlineStr">
        <is>
          <t>Earlier v0.3 artefact exists but is not assumed current</t>
        </is>
      </c>
      <c r="I29" s="24" t="inlineStr">
        <is>
          <t>Not evidenced</t>
        </is>
      </c>
      <c r="J29" s="24" t="inlineStr">
        <is>
          <t>Not evidenced</t>
        </is>
      </c>
      <c r="K29" s="24" t="inlineStr">
        <is>
          <t>Blocked</t>
        </is>
      </c>
      <c r="L29" s="2" t="inlineStr">
        <is>
          <t>Unknown</t>
        </is>
      </c>
      <c r="M29" s="24" t="inlineStr">
        <is>
          <t>Referenced by current documents but the exact controlled v0.5 file was not resolved in the admitted set.</t>
        </is>
      </c>
      <c r="N29" s="24" t="inlineStr">
        <is>
          <t>Gate 1 verification</t>
        </is>
      </c>
      <c r="O29" s="24" t="inlineStr">
        <is>
          <t>Locate or admit the exact v0.5 controlled file before final integrated verification.</t>
        </is>
      </c>
      <c r="P29" s="24" t="str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inlineStr">
        <is>
          <t>TRUST-ADR-001</t>
        </is>
      </c>
      <c r="B30" s="2" t="inlineStr">
        <is>
          <t>Shared Signing and Sealed Custody</t>
        </is>
      </c>
      <c r="C30" s="2" t="inlineStr">
        <is>
          <t>0.1</t>
        </is>
      </c>
      <c r="D30" s="2" t="inlineStr">
        <is>
          <t>Shared Trust Infrastructure</t>
        </is>
      </c>
      <c r="E30" s="2" t="inlineStr">
        <is>
          <t>Architecture decision</t>
        </is>
      </c>
      <c r="F30" s="37" t="inlineStr">
        <is>
          <t>Approved requirement</t>
        </is>
      </c>
      <c r="G30" s="49" t="n">
        <v>46292</v>
      </c>
      <c r="H30" s="2" t="str"/>
      <c r="I30" s="2" t="inlineStr">
        <is>
          <t>Not started</t>
        </is>
      </c>
      <c r="J30" s="2" t="inlineStr">
        <is>
          <t>Not started</t>
        </is>
      </c>
      <c r="K30" s="40" t="inlineStr">
        <is>
          <t>Blocked</t>
        </is>
      </c>
      <c r="L30" s="2" t="inlineStr">
        <is>
          <t>Yes</t>
        </is>
      </c>
      <c r="M30" s="2" t="inlineStr">
        <is>
          <t>Locks two distinct signing/decision semantics and separate multi-person sealed-bid custody, defers actual production mechanisms to a shared support module, and permits synthetic test proxies only.</t>
        </is>
      </c>
      <c r="N30" s="2" t="inlineStr">
        <is>
          <t>BDS-CHG-001 v0.8 (v0.9 proposed); BOP-CHG-001 v0.10 proposed; PRC-CHG-001 v0.9 proposed; LAW-V-001</t>
        </is>
      </c>
      <c r="O30" s="2" t="inlineStr">
        <is>
          <t>Approved v0.1 remains architecture authority. Its static Consumers row cites historical BOP v0.1/PRC v0.2; update by a later controlled revision. Test infrastructure administrator is outside proxy confidentiality guarantee. Production support module and operating profile remain separate.</t>
        </is>
      </c>
      <c r="P30" s="2" t="inlineStr">
        <is>
          <t>https://chatgpt.com/api/library/files/libfile_d1eb23c985808191b4a6e33a29af86b5/download</t>
        </is>
      </c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inlineStr">
        <is>
          <t>BOP-CHG-001</t>
        </is>
      </c>
      <c r="B31" s="2" t="inlineStr">
        <is>
          <t>Electronic Bid Opening</t>
        </is>
      </c>
      <c r="C31" s="2" t="inlineStr">
        <is>
          <t>0.10</t>
        </is>
      </c>
      <c r="D31" s="2" t="inlineStr">
        <is>
          <t>Bid Opening</t>
        </is>
      </c>
      <c r="E31" s="2" t="inlineStr">
        <is>
          <t>Module requirements</t>
        </is>
      </c>
      <c r="F31" s="38" t="inlineStr">
        <is>
          <t>Approved requirement</t>
        </is>
      </c>
      <c r="G31" s="49" t="n">
        <v>46294</v>
      </c>
      <c r="H31" s="2" t="inlineStr">
        <is>
          <t>v0.9 approved 29 September 2026, retained as historical evidence</t>
        </is>
      </c>
      <c r="I31" s="2" t="inlineStr">
        <is>
          <t>Not started</t>
        </is>
      </c>
      <c r="J31" s="2" t="inlineStr">
        <is>
          <t>Not started</t>
        </is>
      </c>
      <c r="K31" s="40" t="inlineStr">
        <is>
          <t>Not approved</t>
        </is>
      </c>
      <c r="L31" s="2" t="inlineStr">
        <is>
          <t>Yes</t>
        </is>
      </c>
      <c r="M31" s="2" t="inlineStr">
        <is>
          <t>Approved design and development contract. v0.10 adds the opening-access-unavailable scenario, four completed-record correction kinds, the AO Your turn state and a unified Tender route.</t>
        </is>
      </c>
      <c r="N31" s="2" t="inlineStr">
        <is>
          <t>KT-STD-001 v1.10 approved; TPR-CHG-001 v0.13 approved (v0.14 post-close seam proposed); BDS-CHG-001 v0.8 approved (v0.9 correction proposed); PRC-CHG-001 v0.9 approved; TRUST-ADR-001 v0.1 approved; LAW-V-001; future Evaluation intake</t>
        </is>
      </c>
      <c r="O31" s="2" t="inlineStr">
        <is>
          <t>Implement approved v0.10 under KT-STD-001 v1.10 with PRC v0.9. Preserve deferred signing/custody support and the separate TPR v0.14 dependency.</t>
        </is>
      </c>
      <c r="P31" s="2" t="inlineStr">
        <is>
          <t>https://chatgpt.com/api/library/files/libfile_a398ef6e43f08191981ed3372ee79e29/download</t>
        </is>
      </c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40" customHeight="1">
      <c r="A32" s="24" t="inlineStr">
        <is>
          <t>PRC-CHG-001</t>
        </is>
      </c>
      <c r="B32" s="24" t="inlineStr">
        <is>
          <t>Minimal Procurement Proceedings</t>
        </is>
      </c>
      <c r="C32" s="24" t="inlineStr">
        <is>
          <t>0.9</t>
        </is>
      </c>
      <c r="D32" s="24" t="inlineStr">
        <is>
          <t>Procurement Proceedings</t>
        </is>
      </c>
      <c r="E32" s="24" t="inlineStr">
        <is>
          <t>Module requirements</t>
        </is>
      </c>
      <c r="F32" s="42" t="inlineStr">
        <is>
          <t>Approved requirement</t>
        </is>
      </c>
      <c r="G32" s="50" t="n">
        <v>46294</v>
      </c>
      <c r="H32" s="24" t="inlineStr">
        <is>
          <t>v0.8 proposed, retained; earlier proposals historical; v0.1 accepted scope</t>
        </is>
      </c>
      <c r="I32" s="24" t="inlineStr">
        <is>
          <t>Not started</t>
        </is>
      </c>
      <c r="J32" s="24" t="inlineStr">
        <is>
          <t>Not started</t>
        </is>
      </c>
      <c r="K32" s="43" t="inlineStr">
        <is>
          <t>Not approved</t>
        </is>
      </c>
      <c r="L32" s="24" t="inlineStr">
        <is>
          <t>Yes</t>
        </is>
      </c>
      <c r="M32" s="24" t="inlineStr">
        <is>
          <t>Approved minimal shared service bound to BOP v0.10: attributed pre-session arrivals carried into actual session view, owner events, versioned opening record, personal target proof, one-action empty outcome and terminal partial/never-held records. No standalone UI.</t>
        </is>
      </c>
      <c r="N32" s="24" t="inlineStr">
        <is>
          <t>BOP-CHG-001 v0.10 approved; KT-STD-001 v1.10 approved; TPR-CHG-001 v0.13 approved (v0.14 proposed); TRUST-ADR-001 v0.1 approved; LAW-V-001</t>
        </is>
      </c>
      <c r="O32" s="24" t="inlineStr">
        <is>
          <t>Review proposed v0.10: separate Evaluation case/sessions, attributed conclusions, report targets/proofs and durable delivery. Approved v0.9 Opening profile retained.</t>
        </is>
      </c>
      <c r="P32" s="24" t="inlineStr">
        <is>
          <t>https://chatgpt.com/api/library/files/libfile_e3c0b33a03448191b9463fc13f4a9c0f/download</t>
        </is>
      </c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10" customHeight="1">
      <c r="A33" s="24" t="inlineStr">
        <is>
          <t>EVL-CHG-001</t>
        </is>
      </c>
      <c r="B33" s="24" t="inlineStr">
        <is>
          <t>Bid Evaluation</t>
        </is>
      </c>
      <c r="C33" s="24" t="inlineStr">
        <is>
          <t>0.4</t>
        </is>
      </c>
      <c r="D33" s="24" t="inlineStr">
        <is>
          <t>Bid Evaluation</t>
        </is>
      </c>
      <c r="E33" s="24" t="inlineStr">
        <is>
          <t>Module requirements</t>
        </is>
      </c>
      <c r="F33" s="24" t="inlineStr">
        <is>
          <t>Approved requirement</t>
        </is>
      </c>
      <c r="G33" s="24" t="inlineStr">
        <is>
          <t>2026-09-30</t>
        </is>
      </c>
      <c r="H33" s="24" t="inlineStr">
        <is>
          <t>v0.3 proposed detail; approved high-level automation approach retained</t>
        </is>
      </c>
      <c r="I33" s="24" t="inlineStr">
        <is>
          <t>Not started</t>
        </is>
      </c>
      <c r="J33" s="24" t="inlineStr">
        <is>
          <t>Not started</t>
        </is>
      </c>
      <c r="K33" s="24" t="inlineStr">
        <is>
          <t>Not approved</t>
        </is>
      </c>
      <c r="L33" s="24" t="inlineStr">
        <is>
          <t>Yes</t>
        </is>
      </c>
      <c r="M33" s="24" t="inlineStr">
        <is>
          <t>Automatic evaluation, focused committee review and signed report. Second-review corrections align commands, tasks, source issues, scope gates and dated fixtures.</t>
        </is>
      </c>
      <c r="N33" s="24" t="inlineStr">
        <is>
          <t>KT-STD-001 v1.12; BOP v0.10; BDS v0.8; PRC v0.9; TRUST v0.1; TPR v0.13; STD-TPL v0.10. Coordinated owner amendments drafted: PRC v0.10, TPR v0.15, BDS v0.10, KT-STD v1.13; approval/integration outstanding.</t>
        </is>
      </c>
      <c r="O33" s="24" t="inlineStr">
        <is>
          <t>Approved EVL v0.4 retained. Four coordinated owner successors drafted and linked in their register entries. Review amendments and implement/test the bindings; executable template rules and legal/Trust work remain open. Gate 1 unchanged.</t>
        </is>
      </c>
      <c r="P33" s="24" t="inlineStr">
        <is>
          <t>https://chatgpt.com/api/library/files/libfile_afeac7a8387c81918c95b97accf8734e/download</t>
        </is>
      </c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40" customHeight="1">
      <c r="A34" s="24" t="inlineStr">
        <is>
          <t>AWD-CHG-001</t>
        </is>
      </c>
      <c r="B34" s="24" t="inlineStr">
        <is>
          <t>Award</t>
        </is>
      </c>
      <c r="C34" s="24" t="inlineStr">
        <is>
          <t>0.4</t>
        </is>
      </c>
      <c r="D34" s="24" t="inlineStr">
        <is>
          <t>Award</t>
        </is>
      </c>
      <c r="E34" s="24" t="inlineStr">
        <is>
          <t>Module requirements</t>
        </is>
      </c>
      <c r="F34" s="24" t="inlineStr">
        <is>
          <t>Project Owner review</t>
        </is>
      </c>
      <c r="G34" s="24" t="n"/>
      <c r="H34" s="24" t="inlineStr">
        <is>
          <t>v0.3; prior versions retained</t>
        </is>
      </c>
      <c r="I34" s="24" t="inlineStr">
        <is>
          <t>Not started</t>
        </is>
      </c>
      <c r="J34" s="24" t="inlineStr">
        <is>
          <t>Not started</t>
        </is>
      </c>
      <c r="K34" s="24" t="inlineStr">
        <is>
          <t>Not approved</t>
        </is>
      </c>
      <c r="L34" s="24" t="inlineStr">
        <is>
          <t>Proposed</t>
        </is>
      </c>
      <c r="M34" s="24" t="inlineStr">
        <is>
          <t>Professional opinion, AO decision, bidder notices, acceptance, waiting conditions and delivery to Contracting.</t>
        </is>
      </c>
      <c r="N34" s="24" t="inlineStr">
        <is>
          <t>EVL v0.4; STD-TPL v0.10; KT-STD v1.12; TPR v0.13; BDS v0.8; PRC v0.9; TRUST v0.1; effective AUTH/Budget. Proposed owner interfaces: AWD-IF-01–07.</t>
        </is>
      </c>
      <c r="O34" s="24" t="inlineStr">
        <is>
          <t>Review v0.4: P1–P3 addressed in §18.3; 31 acceptance cases. Reconcile owner contracts and verify legal/notice rules before release. No counterpart approval implied.</t>
        </is>
      </c>
      <c r="P34" s="24" t="inlineStr">
        <is>
          <t>https://chatgpt.com/api/library/files/libfile_6c148e829bc08191aa40b7f399460732/download</t>
        </is>
      </c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40" customHeight="1">
      <c r="A35" s="24" t="inlineStr">
        <is>
          <t>SEED-OPS-001</t>
        </is>
      </c>
      <c r="B35" s="24" t="inlineStr">
        <is>
          <t>Canonical Site Seed Runbook</t>
        </is>
      </c>
      <c r="C35" s="24" t="inlineStr">
        <is>
          <t>1.17</t>
        </is>
      </c>
      <c r="D35" s="24" t="inlineStr">
        <is>
          <t>Cross-module</t>
        </is>
      </c>
      <c r="E35" s="24" t="inlineStr">
        <is>
          <t>Operational runbook</t>
        </is>
      </c>
      <c r="F35" s="24" t="inlineStr">
        <is>
          <t>Project Owner review</t>
        </is>
      </c>
      <c r="G35" s="24" t="n"/>
      <c r="H35" s="24" t="inlineStr">
        <is>
          <t>v1.16; v1.0–v1.15 retained in KenTender_SEED-OPS-001_Canonical_Site_Seed_Runbook_v1_0.md</t>
        </is>
      </c>
      <c r="I35" s="24" t="inlineStr">
        <is>
          <t>Implemented</t>
        </is>
      </c>
      <c r="J35" s="24" t="inlineStr">
        <is>
          <t>Passed</t>
        </is>
      </c>
      <c r="K35" s="24" t="inlineStr">
        <is>
          <t>Not applicable</t>
        </is>
      </c>
      <c r="L35" s="24" t="inlineStr">
        <is>
          <t>No</t>
        </is>
      </c>
      <c r="M35" s="24" t="inlineStr">
        <is>
          <t>Resetting a site to the canonical seed world (KT-STD-001 §8 and SEED-001), stage by stage from site to award: options, what the clear removes, validation, demo profiles and troubleshooting.</t>
        </is>
      </c>
      <c r="N35" s="24" t="inlineStr">
        <is>
          <t>KT-STD-001 v1.12; SEED-001 v1.3; the module documents each stage cites in its §2</t>
        </is>
      </c>
      <c r="O35" s="24" t="inlineStr">
        <is>
          <t>Keep in step with the seed code; update whenever a module adds a seed stage or demo profiles. Evidence 2026-10-01: make seed-canonical THROUGH=award validated on kentender.midas.com; kentender_core.tests.test_canonical_seed 23/23 passed. Repository file only (no library file).</t>
        </is>
      </c>
      <c r="P35" s="24" t="inlineStr">
        <is>
          <t>Repository: docs/mvp-1-r1/00_common/KenTender_SEED-OPS-001_Canonical_Site_Seed_Runbook_v1_17.md</t>
        </is>
      </c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2">
    <mergeCell ref="A1:P1"/>
    <mergeCell ref="A2:P2"/>
  </mergeCells>
  <conditionalFormatting sqref="F6:F29">
    <cfRule type="containsText" priority="1" operator="containsText" dxfId="2" text="Approved"/>
    <cfRule type="containsText" priority="2" operator="containsText" dxfId="2" text="Passed"/>
    <cfRule type="containsText" priority="3" operator="containsText" dxfId="2" text="Released"/>
    <cfRule type="containsText" priority="4" operator="containsText" dxfId="1" text="Project Owner review"/>
    <cfRule type="containsText" priority="5" operator="containsText" dxfId="6" text="Pending"/>
    <cfRule type="containsText" priority="6" operator="containsText" dxfId="0" text="Blocked"/>
    <cfRule type="containsText" priority="7" operator="containsText" dxfId="0" text="unresolved"/>
    <cfRule type="containsText" priority="8" operator="containsText" dxfId="9" text="Not started"/>
    <cfRule type="containsText" priority="9" operator="containsText" dxfId="9" text="Not evidenced"/>
  </conditionalFormatting>
  <conditionalFormatting sqref="I6:I29">
    <cfRule type="containsText" priority="10" operator="containsText" dxfId="2" text="Approved"/>
    <cfRule type="containsText" priority="11" operator="containsText" dxfId="2" text="Passed"/>
    <cfRule type="containsText" priority="12" operator="containsText" dxfId="2" text="Released"/>
    <cfRule type="containsText" priority="13" operator="containsText" dxfId="1" text="Project Owner review"/>
    <cfRule type="containsText" priority="14" operator="containsText" dxfId="6" text="Pending"/>
    <cfRule type="containsText" priority="15" operator="containsText" dxfId="0" text="Blocked"/>
    <cfRule type="containsText" priority="16" operator="containsText" dxfId="0" text="unresolved"/>
    <cfRule type="containsText" priority="17" operator="containsText" dxfId="9" text="Not started"/>
    <cfRule type="containsText" priority="18" operator="containsText" dxfId="9" text="Not evidenced"/>
  </conditionalFormatting>
  <conditionalFormatting sqref="J6:J29">
    <cfRule type="containsText" priority="19" operator="containsText" dxfId="2" text="Approved"/>
    <cfRule type="containsText" priority="20" operator="containsText" dxfId="2" text="Passed"/>
    <cfRule type="containsText" priority="21" operator="containsText" dxfId="2" text="Released"/>
    <cfRule type="containsText" priority="22" operator="containsText" dxfId="1" text="Project Owner review"/>
    <cfRule type="containsText" priority="23" operator="containsText" dxfId="6" text="Pending"/>
    <cfRule type="containsText" priority="24" operator="containsText" dxfId="0" text="Blocked"/>
    <cfRule type="containsText" priority="25" operator="containsText" dxfId="0" text="unresolved"/>
    <cfRule type="containsText" priority="26" operator="containsText" dxfId="9" text="Not started"/>
    <cfRule type="containsText" priority="27" operator="containsText" dxfId="9" text="Not evidenced"/>
  </conditionalFormatting>
  <conditionalFormatting sqref="K6:K29">
    <cfRule type="containsText" priority="28" operator="containsText" dxfId="2" text="Approved"/>
    <cfRule type="containsText" priority="29" operator="containsText" dxfId="2" text="Passed"/>
    <cfRule type="containsText" priority="30" operator="containsText" dxfId="2" text="Released"/>
    <cfRule type="containsText" priority="31" operator="containsText" dxfId="1" text="Project Owner review"/>
    <cfRule type="containsText" priority="32" operator="containsText" dxfId="6" text="Pending"/>
    <cfRule type="containsText" priority="33" operator="containsText" dxfId="0" text="Blocked"/>
    <cfRule type="containsText" priority="34" operator="containsText" dxfId="0" text="unresolved"/>
    <cfRule type="containsText" priority="35" operator="containsText" dxfId="9" text="Not started"/>
    <cfRule type="containsText" priority="36" operator="containsText" dxfId="9" text="Not evidenc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Z20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3" customWidth="1" min="1" max="1"/>
    <col width="23" customWidth="1" min="2" max="2"/>
    <col width="23" customWidth="1" min="3" max="3"/>
    <col width="48" customWidth="1" min="4" max="4"/>
    <col width="22" customWidth="1" min="5" max="5"/>
    <col width="18" customWidth="1" min="6" max="6"/>
    <col width="16" customWidth="1" min="7" max="7"/>
    <col width="37" customWidth="1" min="8" max="8"/>
    <col width="50" customWidth="1" min="9" max="9"/>
  </cols>
  <sheetData>
    <row r="1" ht="38" customHeight="1">
      <c r="A1" s="5" t="inlineStr">
        <is>
          <t>Cross-module interfaces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Every handoff has an upstream owner, downstream consumer, exact contract and failure rule. A document cannot be considered complete if a required interface remains unresolved.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6" customHeight="1">
      <c r="A5" s="35" t="inlineStr">
        <is>
          <t>Interface ID</t>
        </is>
      </c>
      <c r="B5" s="35" t="inlineStr">
        <is>
          <t>Upstream owner</t>
        </is>
      </c>
      <c r="C5" s="35" t="inlineStr">
        <is>
          <t>Downstream consumer</t>
        </is>
      </c>
      <c r="D5" s="35" t="inlineStr">
        <is>
          <t>Contract / artifact</t>
        </is>
      </c>
      <c r="E5" s="35" t="inlineStr">
        <is>
          <t>Requirement status</t>
        </is>
      </c>
      <c r="F5" s="35" t="inlineStr">
        <is>
          <t>Implementation</t>
        </is>
      </c>
      <c r="G5" s="35" t="inlineStr">
        <is>
          <t>Test status</t>
        </is>
      </c>
      <c r="H5" s="35" t="inlineStr">
        <is>
          <t>Owning documents</t>
        </is>
      </c>
      <c r="I5" s="35" t="inlineStr">
        <is>
          <t>Failure rule</t>
        </is>
      </c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44" customHeight="1">
      <c r="A6" s="2" t="inlineStr">
        <is>
          <t>IF-001</t>
        </is>
      </c>
      <c r="B6" s="24" t="inlineStr">
        <is>
          <t>Strategy Alignment</t>
        </is>
      </c>
      <c r="C6" s="24" t="inlineStr">
        <is>
          <t>Procurement Planning</t>
        </is>
      </c>
      <c r="D6" s="24" t="inlineStr">
        <is>
          <t>Accepted objective reference and immutable strategy snapshot</t>
        </is>
      </c>
      <c r="E6" s="24" t="inlineStr">
        <is>
          <t>Closed in requirements</t>
        </is>
      </c>
      <c r="F6" s="24" t="inlineStr">
        <is>
          <t>Not evidenced</t>
        </is>
      </c>
      <c r="G6" s="24" t="inlineStr">
        <is>
          <t>Not evidenced</t>
        </is>
      </c>
      <c r="H6" s="24" t="inlineStr">
        <is>
          <t>STR-CHG-001 v1.8 / PLN-CHG-001 v1.27</t>
        </is>
      </c>
      <c r="I6" s="24" t="inlineStr">
        <is>
          <t>Planning must not invent or silently rewrite strategy evidence.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44" customHeight="1">
      <c r="A7" s="2" t="inlineStr">
        <is>
          <t>IF-002</t>
        </is>
      </c>
      <c r="B7" s="24" t="inlineStr">
        <is>
          <t>Budget and Funding</t>
        </is>
      </c>
      <c r="C7" s="24" t="inlineStr">
        <is>
          <t>Procurement Planning</t>
        </is>
      </c>
      <c r="D7" s="24" t="inlineStr">
        <is>
          <t>Funding ceiling, budget line and affordability facts</t>
        </is>
      </c>
      <c r="E7" s="24" t="inlineStr">
        <is>
          <t>Closed in requirements</t>
        </is>
      </c>
      <c r="F7" s="24" t="inlineStr">
        <is>
          <t>Not evidenced</t>
        </is>
      </c>
      <c r="G7" s="24" t="inlineStr">
        <is>
          <t>Not evidenced</t>
        </is>
      </c>
      <c r="H7" s="24" t="inlineStr">
        <is>
          <t>BUD-CHG-001 v1.11 / PLN-CHG-001 v1.27</t>
        </is>
      </c>
      <c r="I7" s="24" t="inlineStr">
        <is>
          <t>Budget facts must not be repurposed as the APP reservation denominator.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4" customHeight="1">
      <c r="A8" s="2" t="inlineStr">
        <is>
          <t>IF-003</t>
        </is>
      </c>
      <c r="B8" s="24" t="inlineStr">
        <is>
          <t>Departmental Needs</t>
        </is>
      </c>
      <c r="C8" s="24" t="inlineStr">
        <is>
          <t>Procurement Planning</t>
        </is>
      </c>
      <c r="D8" s="24" t="inlineStr">
        <is>
          <t>Accepted requirement identity, quantity, unit, required-by date and planning disposition</t>
        </is>
      </c>
      <c r="E8" s="24" t="inlineStr">
        <is>
          <t>Closed in requirements</t>
        </is>
      </c>
      <c r="F8" s="24" t="inlineStr">
        <is>
          <t>Not evidenced</t>
        </is>
      </c>
      <c r="G8" s="24" t="inlineStr">
        <is>
          <t>Not evidenced</t>
        </is>
      </c>
      <c r="H8" s="24" t="inlineStr">
        <is>
          <t>NDS-CHG-001 v1.14 / PLN-CHG-001 v1.27</t>
        </is>
      </c>
      <c r="I8" s="24" t="inlineStr">
        <is>
          <t>A need cannot be subsumed into a plan item whose fulfilment path is already unavailable.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4" customHeight="1">
      <c r="A9" s="2" t="inlineStr">
        <is>
          <t>IF-004</t>
        </is>
      </c>
      <c r="B9" s="24" t="inlineStr">
        <is>
          <t>Procurement Planning</t>
        </is>
      </c>
      <c r="C9" s="24" t="inlineStr">
        <is>
          <t>Procurement Requisitions</t>
        </is>
      </c>
      <c r="D9" s="24" t="inlineStr">
        <is>
          <t>Activated plan item plus REQ-owned Purchase ready for requisition hand-off, preserving allocations, classification, method, schedule, lots and reservation treatment</t>
        </is>
      </c>
      <c r="E9" s="24" t="inlineStr">
        <is>
          <t>Closed in requirements</t>
        </is>
      </c>
      <c r="F9" s="24" t="inlineStr">
        <is>
          <t>Not evidenced</t>
        </is>
      </c>
      <c r="G9" s="24" t="inlineStr">
        <is>
          <t>Not evidenced</t>
        </is>
      </c>
      <c r="H9" s="24" t="inlineStr">
        <is>
          <t>PLN-CHG-001 v1.27 / REQ-CHG-001 v1.12</t>
        </is>
      </c>
      <c r="I9" s="24" t="inlineStr">
        <is>
          <t>Requisition must preserve approved planning facts, expose lawful corrections explicitly and must not invent a parallel task or approval state.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4" customHeight="1">
      <c r="A10" s="2" t="inlineStr">
        <is>
          <t>IF-005</t>
        </is>
      </c>
      <c r="B10" s="24" t="inlineStr">
        <is>
          <t>Procurement Requisitions</t>
        </is>
      </c>
      <c r="C10" s="24" t="inlineStr">
        <is>
          <t>Tenders</t>
        </is>
      </c>
      <c r="D10" s="24" t="inlineStr">
        <is>
          <t>AuthorizedRequisitionHandoff</t>
        </is>
      </c>
      <c r="E10" s="24" t="inlineStr">
        <is>
          <t>Closed in requirements</t>
        </is>
      </c>
      <c r="F10" s="24" t="inlineStr">
        <is>
          <t>Planned</t>
        </is>
      </c>
      <c r="G10" s="24" t="inlineStr">
        <is>
          <t>Not evidenced</t>
        </is>
      </c>
      <c r="H10" s="24" t="inlineStr">
        <is>
          <t>REQ-CHG-001 v1.12 / TPR-CHG-001 v0.13</t>
        </is>
      </c>
      <c r="I10" s="24" t="inlineStr">
        <is>
          <t>Tender creation must reject missing, stale or unauthorised handoff data.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4" customHeight="1">
      <c r="A11" s="2" t="inlineStr">
        <is>
          <t>IF-006</t>
        </is>
      </c>
      <c r="B11" s="24" t="inlineStr">
        <is>
          <t>System Setup</t>
        </is>
      </c>
      <c r="C11" s="24" t="inlineStr">
        <is>
          <t>Planning/Tenders/Bids</t>
        </is>
      </c>
      <c r="D11" s="24" t="inlineStr">
        <is>
          <t>Effective procurement rules, schedule profiles, responsibilities, public portal settings and release availability</t>
        </is>
      </c>
      <c r="E11" s="24" t="inlineStr">
        <is>
          <t>Needs approval</t>
        </is>
      </c>
      <c r="F11" s="24" t="inlineStr">
        <is>
          <t>Planned</t>
        </is>
      </c>
      <c r="G11" s="24" t="inlineStr">
        <is>
          <t>Not evidenced</t>
        </is>
      </c>
      <c r="H11" s="24" t="inlineStr">
        <is>
          <t>CFG-CHG-002 v0.16</t>
        </is>
      </c>
      <c r="I11" s="24" t="inlineStr">
        <is>
          <t>Unavailable or unverified settings must block only their affected action and name the responsible setup owner.</t>
        </is>
      </c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44" customHeight="1">
      <c r="A12" s="2" t="inlineStr">
        <is>
          <t>IF-007</t>
        </is>
      </c>
      <c r="B12" s="24" t="inlineStr">
        <is>
          <t>STD Templates</t>
        </is>
      </c>
      <c r="C12" s="24" t="inlineStr">
        <is>
          <t>Requisitions/Tenders/Bids</t>
        </is>
      </c>
      <c r="D12" s="24" t="inlineStr">
        <is>
          <t>Digest-matched installed template, construction evidence, shared compiler, renderer adapter and site On/Off switch</t>
        </is>
      </c>
      <c r="E12" s="24" t="inlineStr">
        <is>
          <t>STD v0.10 and runtime v1.1 approved; bundle pending</t>
        </is>
      </c>
      <c r="F12" s="24" t="inlineStr">
        <is>
          <t>Planned</t>
        </is>
      </c>
      <c r="G12" s="24" t="inlineStr">
        <is>
          <t>Pending</t>
        </is>
      </c>
      <c r="H12" s="24" t="inlineStr">
        <is>
          <t>STD-TPL-001 v0.10 / STD-TPL-IMP-001 v1.1</t>
        </is>
      </c>
      <c r="I12" s="24" t="inlineStr">
        <is>
          <t>No module may infer missing semantics, bypass integrity/renderer checks, or bind a new Tender while the site switch is Off.</t>
        </is>
      </c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4" customHeight="1">
      <c r="A13" s="2" t="inlineStr">
        <is>
          <t>IF-008</t>
        </is>
      </c>
      <c r="B13" s="24" t="inlineStr">
        <is>
          <t>Tenders</t>
        </is>
      </c>
      <c r="C13" s="24" t="inlineStr">
        <is>
          <t>Bid Submission</t>
        </is>
      </c>
      <c r="D13" s="24" t="inlineStr">
        <is>
          <t>PublishedBidDefinition with stable row identities, deadlines, addenda and clarification state</t>
        </is>
      </c>
      <c r="E13" s="24" t="inlineStr">
        <is>
          <t>Closed in requirements</t>
        </is>
      </c>
      <c r="F13" s="24" t="inlineStr">
        <is>
          <t>Planned</t>
        </is>
      </c>
      <c r="G13" s="24" t="inlineStr">
        <is>
          <t>Not evidenced</t>
        </is>
      </c>
      <c r="H13" s="24" t="inlineStr">
        <is>
          <t>TPR-CHG-001 v0.13 / BDS-CHG-001 v0.8 / STD-TPL-IMP-001 v1.1</t>
        </is>
      </c>
      <c r="I13" s="24" t="inlineStr">
        <is>
          <t>Bid UI must be generated only by the shared compiler from the exact effective published definition and release identity.</t>
        </is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44" customHeight="1">
      <c r="A14" s="2" t="inlineStr">
        <is>
          <t>IF-009</t>
        </is>
      </c>
      <c r="B14" s="24" t="inlineStr">
        <is>
          <t>Bid Submission</t>
        </is>
      </c>
      <c r="C14" s="24" t="inlineStr">
        <is>
          <t>Tenders</t>
        </is>
      </c>
      <c r="D14" s="24" t="inlineStr">
        <is>
          <t>Atomic candidate registration/contact plus candidate question</t>
        </is>
      </c>
      <c r="E14" s="24" t="inlineStr">
        <is>
          <t>Closed in requirements</t>
        </is>
      </c>
      <c r="F14" s="24" t="inlineStr">
        <is>
          <t>Planned</t>
        </is>
      </c>
      <c r="G14" s="24" t="inlineStr">
        <is>
          <t>Not evidenced</t>
        </is>
      </c>
      <c r="H14" s="24" t="inlineStr">
        <is>
          <t>BDS-CHG-001 v0.8 / TPR-CHG-001 v0.13</t>
        </is>
      </c>
      <c r="I14" s="24" t="inlineStr">
        <is>
          <t>Start bid must not create a half-registered candidate or orphan question.</t>
        </is>
      </c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4" customHeight="1">
      <c r="A15" s="2" t="inlineStr">
        <is>
          <t>IF-012</t>
        </is>
      </c>
      <c r="B15" s="24" t="inlineStr">
        <is>
          <t>Procurement Planning</t>
        </is>
      </c>
      <c r="C15" s="24" t="inlineStr">
        <is>
          <t>Budget and Funding</t>
        </is>
      </c>
      <c r="D15" s="24" t="inlineStr">
        <is>
          <t>Planning budget revision request with affected plan item, requested outcome, reason, requester, timestamps and immutable request identity</t>
        </is>
      </c>
      <c r="E15" s="24" t="inlineStr">
        <is>
          <t>Closed in requirements</t>
        </is>
      </c>
      <c r="F15" s="24" t="inlineStr">
        <is>
          <t>Not evidenced</t>
        </is>
      </c>
      <c r="G15" s="24" t="inlineStr">
        <is>
          <t>Not evidenced</t>
        </is>
      </c>
      <c r="H15" s="24" t="inlineStr">
        <is>
          <t>PLN-CHG-001 v1.27 / BUD-CHG-001 v1.11</t>
        </is>
      </c>
      <c r="I15" s="24" t="inlineStr">
        <is>
          <t>The request itself must not change an amount, create a reservation, constitute a budget revision or imply approval.</t>
        </is>
      </c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44" customHeight="1">
      <c r="A16" s="2" t="inlineStr">
        <is>
          <t>IF-013</t>
        </is>
      </c>
      <c r="B16" s="24" t="inlineStr">
        <is>
          <t>Budget and Funding</t>
        </is>
      </c>
      <c r="C16" s="24" t="inlineStr">
        <is>
          <t>Procurement Planning</t>
        </is>
      </c>
      <c r="D16" s="24" t="inlineStr">
        <is>
          <t>Budget revision request outcome, decline reason or registered successor allocation evidence</t>
        </is>
      </c>
      <c r="E16" s="24" t="inlineStr">
        <is>
          <t>Closed in requirements</t>
        </is>
      </c>
      <c r="F16" s="24" t="inlineStr">
        <is>
          <t>Not evidenced</t>
        </is>
      </c>
      <c r="G16" s="24" t="inlineStr">
        <is>
          <t>Not evidenced</t>
        </is>
      </c>
      <c r="H16" s="24" t="inlineStr">
        <is>
          <t>BUD-CHG-001 v1.11 / PLN-CHG-001 v1.27</t>
        </is>
      </c>
      <c r="I16" s="24" t="inlineStr">
        <is>
          <t>Planning must re-evaluate affordability from the returned Budget-owned fact and must not infer success from request submission.</t>
        </is>
      </c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44" customHeight="1">
      <c r="A17" s="2" t="inlineStr">
        <is>
          <t>IF-014</t>
        </is>
      </c>
      <c r="B17" s="24" t="inlineStr">
        <is>
          <t>Shared workflow guidance</t>
        </is>
      </c>
      <c r="C17" s="24" t="inlineStr">
        <is>
          <t>All task modules</t>
        </is>
      </c>
      <c r="D17" s="24" t="inlineStr">
        <is>
          <t>Server-produced next-step response, explicit guard reason and complete hand-off register consumed by record pages, My Work and Home</t>
        </is>
      </c>
      <c r="E17" s="24" t="inlineStr">
        <is>
          <t>Approved shared standard; module adoption partial</t>
        </is>
      </c>
      <c r="F17" s="24" t="inlineStr">
        <is>
          <t>Planned</t>
        </is>
      </c>
      <c r="G17" s="24" t="inlineStr">
        <is>
          <t>Not evidenced</t>
        </is>
      </c>
      <c r="H17" s="24" t="inlineStr">
        <is>
          <t>KT-STD-001 v1.9 / current module document</t>
        </is>
      </c>
      <c r="I17" s="24" t="inlineStr">
        <is>
          <t>No authorised user may reach a meaningful record state without an action, waiting owner, correctable blocker or completed outcome.</t>
        </is>
      </c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44" customHeight="1">
      <c r="A18" s="2" t="inlineStr">
        <is>
          <t>IF-010</t>
        </is>
      </c>
      <c r="B18" s="24" t="inlineStr">
        <is>
          <t>Tenders</t>
        </is>
      </c>
      <c r="C18" s="24" t="inlineStr">
        <is>
          <t>Bid Submission</t>
        </is>
      </c>
      <c r="D18" s="24" t="inlineStr">
        <is>
          <t>Published clarification answers, candidate notices and issued addenda</t>
        </is>
      </c>
      <c r="E18" s="24" t="inlineStr">
        <is>
          <t>Closed in requirements</t>
        </is>
      </c>
      <c r="F18" s="24" t="inlineStr">
        <is>
          <t>Planned</t>
        </is>
      </c>
      <c r="G18" s="24" t="inlineStr">
        <is>
          <t>Not evidenced</t>
        </is>
      </c>
      <c r="H18" s="24" t="inlineStr">
        <is>
          <t>TPR-CHG-001 v0.13 / BDS-CHG-001 v0.8</t>
        </is>
      </c>
      <c r="I18" s="24" t="inlineStr">
        <is>
          <t>Changed requirements require an issued addendum; clarifications alone cannot mutate the bid definition.</t>
        </is>
      </c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44" customHeight="1">
      <c r="A19" s="2" t="inlineStr">
        <is>
          <t>IF-015</t>
        </is>
      </c>
      <c r="B19" s="24" t="inlineStr">
        <is>
          <t>STD Templates</t>
        </is>
      </c>
      <c r="C19" s="24" t="inlineStr">
        <is>
          <t>Tenders/Bid Submission</t>
        </is>
      </c>
      <c r="D19" s="24" t="inlineStr">
        <is>
          <t>Bound release and site availability projection</t>
        </is>
      </c>
      <c r="E19" s="24" t="inlineStr">
        <is>
          <t>Closed in requirements</t>
        </is>
      </c>
      <c r="F19" s="24" t="inlineStr">
        <is>
          <t>Planned</t>
        </is>
      </c>
      <c r="G19" s="24" t="inlineStr">
        <is>
          <t>Not evidenced</t>
        </is>
      </c>
      <c r="H19" s="24" t="inlineStr">
        <is>
          <t>STD-TPL-001 v0.10 / STD-TPL-IMP-001 v1.1 / TPR-CHG-001 v0.13</t>
        </is>
      </c>
      <c r="I19" s="24" t="inlineStr">
        <is>
          <t>New binding requires site On and valid integrity/renderer; Off preserves existing bindings, safety/legal withdrawal blocks affected unpublished publication; never automatically rebind.</t>
        </is>
      </c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44" customHeight="1">
      <c r="A20" s="2" t="inlineStr">
        <is>
          <t>IF-011</t>
        </is>
      </c>
      <c r="B20" s="24" t="inlineStr">
        <is>
          <t>Bid Submission</t>
        </is>
      </c>
      <c r="C20" s="24" t="inlineStr">
        <is>
          <t>Bid Opening</t>
        </is>
      </c>
      <c r="D20" s="24" t="inlineStr">
        <is>
          <t>Sealed immutable bid handoff and receipt identity</t>
        </is>
      </c>
      <c r="E20" s="24" t="inlineStr">
        <is>
          <t>Future consumer boundary</t>
        </is>
      </c>
      <c r="F20" s="24" t="inlineStr">
        <is>
          <t>Not started</t>
        </is>
      </c>
      <c r="G20" s="24" t="inlineStr">
        <is>
          <t>Not started</t>
        </is>
      </c>
      <c r="H20" s="24" t="inlineStr">
        <is>
          <t>BDS-CHG-001 v0.8</t>
        </is>
      </c>
      <c r="I20" s="24" t="inlineStr">
        <is>
          <t>Gate 1 ends at sealed handoff; no opening or evaluation behaviour is implied.</t>
        </is>
      </c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inlineStr">
        <is>
          <t>IF-016</t>
        </is>
      </c>
      <c r="B21" s="2" t="inlineStr">
        <is>
          <t>Trust, Signing and Custody</t>
        </is>
      </c>
      <c r="C21" s="2" t="inlineStr">
        <is>
          <t>BDS / BOP / PRC</t>
        </is>
      </c>
      <c r="D21" s="2" t="inlineStr">
        <is>
          <t>Exact-target signature verification and sealed bid deposit/opening custody with authoritative receipts and independent member authorization</t>
        </is>
      </c>
      <c r="E21" s="2" t="inlineStr">
        <is>
          <t>Deferred production contract; test proxy approved</t>
        </is>
      </c>
      <c r="F21" s="2" t="inlineStr">
        <is>
          <t>Not started</t>
        </is>
      </c>
      <c r="G21" s="2" t="inlineStr">
        <is>
          <t>Not started</t>
        </is>
      </c>
      <c r="H21" s="2" t="inlineStr">
        <is>
          <t>TRUST-ADR-001 v0.1; BDS-CHG-001 v0.8; BOP-CHG-001 v0.1; PRC-CHG-001 v0.2</t>
        </is>
      </c>
      <c r="I21" s="2" t="inlineStr">
        <is>
          <t>No production submission/opening/signature on absent or uncertain trust/custody result. A synthetic proxy cannot turn the default-false BDS gate on.</t>
        </is>
      </c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30" customHeight="1">
      <c r="A22" s="24" t="inlineStr">
        <is>
          <t>IF-017</t>
        </is>
      </c>
      <c r="B22" s="24" t="inlineStr">
        <is>
          <t>Evaluation / Tenders</t>
        </is>
      </c>
      <c r="C22" s="24" t="inlineStr">
        <is>
          <t>Award</t>
        </is>
      </c>
      <c r="D22" s="24" t="inlineStr">
        <is>
          <t>Exact report/task receipt; separate decision and notice authority; serialised notice/cancellation boundary. AWD-IF-01–02.</t>
        </is>
      </c>
      <c r="E22" s="24" t="inlineStr">
        <is>
          <t>Proposed interface</t>
        </is>
      </c>
      <c r="F22" s="24" t="inlineStr">
        <is>
          <t>Not started</t>
        </is>
      </c>
      <c r="G22" s="24" t="inlineStr">
        <is>
          <t>Not started</t>
        </is>
      </c>
      <c r="H22" s="24" t="inlineStr">
        <is>
          <t>AWD-CHG-001 v0.4 §17.2; matching owner amendments pending</t>
        </is>
      </c>
      <c r="I22" s="24" t="inlineStr">
        <is>
          <t>No duplicate receipt task, stale source or false negative authority; preserve versioned corrections.</t>
        </is>
      </c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30" customHeight="1">
      <c r="A23" s="24" t="inlineStr">
        <is>
          <t>IF-018</t>
        </is>
      </c>
      <c r="B23" s="24" t="inlineStr">
        <is>
          <t>BDS / Budget / AUTH / Legal / Trust</t>
        </is>
      </c>
      <c r="C23" s="24" t="inlineStr">
        <is>
          <t>Award / Procurement Proceedings</t>
        </is>
      </c>
      <c r="D23" s="24" t="inlineStr">
        <is>
          <t>Audience, authority, funding and verified notice/signature/clock rules; retained records. AWD-IF-03, 04, 06, 07.</t>
        </is>
      </c>
      <c r="E23" s="24" t="inlineStr">
        <is>
          <t>Proposed interface</t>
        </is>
      </c>
      <c r="F23" s="24" t="inlineStr">
        <is>
          <t>Not started</t>
        </is>
      </c>
      <c r="G23" s="24" t="inlineStr">
        <is>
          <t>Not started</t>
        </is>
      </c>
      <c r="H23" s="24" t="inlineStr">
        <is>
          <t>AWD-CHG-001 v0.4 §17.2; matching owner amendments pending</t>
        </is>
      </c>
      <c r="I23" s="24" t="inlineStr">
        <is>
          <t>Unknown rules, authority, funding or giving evidence cannot authorise positive advancement.</t>
        </is>
      </c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30" customHeight="1">
      <c r="A24" s="24" t="inlineStr">
        <is>
          <t>IF-019</t>
        </is>
      </c>
      <c r="B24" s="24" t="inlineStr">
        <is>
          <t>Award</t>
        </is>
      </c>
      <c r="C24" s="24" t="inlineStr">
        <is>
          <t>Contracting</t>
        </is>
      </c>
      <c r="D24" s="24" t="inlineStr">
        <is>
          <t>Immutable package, durable receipt/task, later restriction updates, and independent decision-event delivery to the Contracting-owned publication obligation. AWD-IF-05.</t>
        </is>
      </c>
      <c r="E24" s="24" t="inlineStr">
        <is>
          <t>Proposed interface</t>
        </is>
      </c>
      <c r="F24" s="24" t="inlineStr">
        <is>
          <t>Not started</t>
        </is>
      </c>
      <c r="G24" s="24" t="inlineStr">
        <is>
          <t>Not started</t>
        </is>
      </c>
      <c r="H24" s="24" t="inlineStr">
        <is>
          <t>AWD-CHG-001 v0.4 §17.2; matching owner amendments pending</t>
        </is>
      </c>
      <c r="I24" s="24" t="inlineStr">
        <is>
          <t>No completion without consumer receipt; Contracting rechecks current restrictions. No contract created by notice or acceptance.</t>
        </is>
      </c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2">
    <mergeCell ref="A1:I1"/>
    <mergeCell ref="A2:I2"/>
  </mergeCells>
  <conditionalFormatting sqref="E6:E20">
    <cfRule type="containsText" priority="1" operator="containsText" dxfId="2" text="Approved"/>
    <cfRule type="containsText" priority="2" operator="containsText" dxfId="2" text="Passed"/>
    <cfRule type="containsText" priority="3" operator="containsText" dxfId="2" text="Released"/>
    <cfRule type="containsText" priority="4" operator="containsText" dxfId="1" text="Project Owner review"/>
    <cfRule type="containsText" priority="5" operator="containsText" dxfId="6" text="Pending"/>
    <cfRule type="containsText" priority="6" operator="containsText" dxfId="0" text="Blocked"/>
    <cfRule type="containsText" priority="7" operator="containsText" dxfId="0" text="unresolved"/>
    <cfRule type="containsText" priority="8" operator="containsText" dxfId="9" text="Not started"/>
    <cfRule type="containsText" priority="9" operator="containsText" dxfId="9" text="Not evidenced"/>
  </conditionalFormatting>
  <conditionalFormatting sqref="F6:F20">
    <cfRule type="containsText" priority="10" operator="containsText" dxfId="2" text="Approved"/>
    <cfRule type="containsText" priority="11" operator="containsText" dxfId="2" text="Passed"/>
    <cfRule type="containsText" priority="12" operator="containsText" dxfId="2" text="Released"/>
    <cfRule type="containsText" priority="13" operator="containsText" dxfId="1" text="Project Owner review"/>
    <cfRule type="containsText" priority="14" operator="containsText" dxfId="6" text="Pending"/>
    <cfRule type="containsText" priority="15" operator="containsText" dxfId="0" text="Blocked"/>
    <cfRule type="containsText" priority="16" operator="containsText" dxfId="0" text="unresolved"/>
    <cfRule type="containsText" priority="17" operator="containsText" dxfId="9" text="Not started"/>
    <cfRule type="containsText" priority="18" operator="containsText" dxfId="9" text="Not evidenced"/>
  </conditionalFormatting>
  <conditionalFormatting sqref="G6:G20">
    <cfRule type="containsText" priority="19" operator="containsText" dxfId="2" text="Approved"/>
    <cfRule type="containsText" priority="20" operator="containsText" dxfId="2" text="Passed"/>
    <cfRule type="containsText" priority="21" operator="containsText" dxfId="2" text="Released"/>
    <cfRule type="containsText" priority="22" operator="containsText" dxfId="1" text="Project Owner review"/>
    <cfRule type="containsText" priority="23" operator="containsText" dxfId="6" text="Pending"/>
    <cfRule type="containsText" priority="24" operator="containsText" dxfId="0" text="Blocked"/>
    <cfRule type="containsText" priority="25" operator="containsText" dxfId="0" text="unresolved"/>
    <cfRule type="containsText" priority="26" operator="containsText" dxfId="9" text="Not started"/>
    <cfRule type="containsText" priority="27" operator="containsText" dxfId="9" text="Not evidenc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Z20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4" customWidth="1" min="1" max="1"/>
    <col width="56" customWidth="1" min="2" max="2"/>
    <col width="14" customWidth="1" min="3" max="3"/>
    <col width="34" customWidth="1" min="4" max="4"/>
    <col width="46" customWidth="1" min="5" max="5"/>
    <col width="46" customWidth="1" min="6" max="6"/>
  </cols>
  <sheetData>
    <row r="1" ht="38" customHeight="1">
      <c r="A1" s="5" t="inlineStr">
        <is>
          <t>Controlled decisions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Approved and proposed decisions remain explicit. A proposed decision does not replace an approved decision until approval records that effect.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6" customHeight="1">
      <c r="A5" s="35" t="inlineStr">
        <is>
          <t>Decision ID</t>
        </is>
      </c>
      <c r="B5" s="35" t="inlineStr">
        <is>
          <t>Decision</t>
        </is>
      </c>
      <c r="C5" s="35" t="inlineStr">
        <is>
          <t>Status</t>
        </is>
      </c>
      <c r="D5" s="35" t="inlineStr">
        <is>
          <t>Owning document</t>
        </is>
      </c>
      <c r="E5" s="35" t="inlineStr">
        <is>
          <t>Implementation effect</t>
        </is>
      </c>
      <c r="F5" s="35" t="inlineStr">
        <is>
          <t>Design effect</t>
        </is>
      </c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44" customHeight="1">
      <c r="A6" s="2" t="inlineStr">
        <is>
          <t>DEC-001</t>
        </is>
      </c>
      <c r="B6" s="24" t="inlineStr">
        <is>
          <t>Each site represents one procuring entity for MVP; organisational units are scoped within it.</t>
        </is>
      </c>
      <c r="C6" s="2" t="inlineStr">
        <is>
          <t>Approved</t>
        </is>
      </c>
      <c r="D6" s="24" t="inlineStr">
        <is>
          <t>CFG-CHG-002 / AUTH-ADR-001</t>
        </is>
      </c>
      <c r="E6" s="24" t="inlineStr">
        <is>
          <t>Do not add routine procuring-entity selectors.</t>
        </is>
      </c>
      <c r="F6" s="24" t="inlineStr">
        <is>
          <t>Show organisational scope only where it affects the task.</t>
        </is>
      </c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44" customHeight="1">
      <c r="A7" s="2" t="inlineStr">
        <is>
          <t>DEC-002</t>
        </is>
      </c>
      <c r="B7" s="24" t="inlineStr">
        <is>
          <t>Departmental consultation is optional evidence, not a mandatory workflow gate.</t>
        </is>
      </c>
      <c r="C7" s="2" t="inlineStr">
        <is>
          <t>Approved</t>
        </is>
      </c>
      <c r="D7" s="24" t="inlineStr">
        <is>
          <t>NDS-CHG-001</t>
        </is>
      </c>
      <c r="E7" s="24" t="inlineStr">
        <is>
          <t>Acceptance remains possible without consultation when authorised.</t>
        </is>
      </c>
      <c r="F7" s="24" t="inlineStr">
        <is>
          <t>Keep consultation in supporting detail.</t>
        </is>
      </c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4" customHeight="1">
      <c r="A8" s="2" t="inlineStr">
        <is>
          <t>DEC-003</t>
        </is>
      </c>
      <c r="B8" s="24" t="inlineStr">
        <is>
          <t>Requisitions and bids use structured requirement rows rather than attachment-first data capture.</t>
        </is>
      </c>
      <c r="C8" s="2" t="inlineStr">
        <is>
          <t>Approved</t>
        </is>
      </c>
      <c r="D8" s="24" t="inlineStr">
        <is>
          <t>REQ-CHG-001 / STD-TPL-001 / BDS-CHG-001</t>
        </is>
      </c>
      <c r="E8" s="24" t="inlineStr">
        <is>
          <t>Preserve stable row identities and typed responses.</t>
        </is>
      </c>
      <c r="F8" s="24" t="inlineStr">
        <is>
          <t>Generate concise task-oriented sections from metadata.</t>
        </is>
      </c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4" customHeight="1">
      <c r="A9" s="2" t="inlineStr">
        <is>
          <t>DEC-004</t>
        </is>
      </c>
      <c r="B9" s="24" t="inlineStr">
        <is>
          <t>Tender formats are curated controlled releases; administrators do not build legal templates through a generic field wizard.</t>
        </is>
      </c>
      <c r="C9" s="2" t="inlineStr">
        <is>
          <t>Approved</t>
        </is>
      </c>
      <c r="D9" s="24" t="inlineStr">
        <is>
          <t>STD-TPL-001</t>
        </is>
      </c>
      <c r="E9" s="24" t="inlineStr">
        <is>
          <t>Release tooling is controlled and manifest-based.</t>
        </is>
      </c>
      <c r="F9" s="24" t="inlineStr">
        <is>
          <t>Admin UI shows content and site On/Off state, never a generic schema editor.</t>
        </is>
      </c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4" customHeight="1">
      <c r="A10" s="2" t="inlineStr">
        <is>
          <t>DEC-005</t>
        </is>
      </c>
      <c r="B10" s="24" t="inlineStr">
        <is>
          <t>Move tender-format administration to a dedicated STD Templates menu.</t>
        </is>
      </c>
      <c r="C10" s="2" t="inlineStr">
        <is>
          <t>Approved</t>
        </is>
      </c>
      <c r="D10" s="24" t="inlineStr">
        <is>
          <t>STD-TPL-001 / CFG-CHG-002</t>
        </is>
      </c>
      <c r="E10" s="24" t="inlineStr">
        <is>
          <t>One authoritative inspection surface.</t>
        </is>
      </c>
      <c r="F10" s="24" t="inlineStr">
        <is>
          <t>List, detail, previews, verification and release state are visible.</t>
        </is>
      </c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4" customHeight="1">
      <c r="A11" s="2" t="inlineStr">
        <is>
          <t>DEC-006</t>
        </is>
      </c>
      <c r="B11" s="24" t="inlineStr">
        <is>
          <t>The statutory 30% reservation denominator is the eligible value of the current complete APP, not the Budget ceiling.</t>
        </is>
      </c>
      <c r="C11" s="2" t="inlineStr">
        <is>
          <t>Approved</t>
        </is>
      </c>
      <c r="D11" s="24" t="inlineStr">
        <is>
          <t>LAW-REG-001 / PLN-CHG-001</t>
        </is>
      </c>
      <c r="E11" s="24" t="inlineStr">
        <is>
          <t>Compute from APP items and preserve denominator evidence.</t>
        </is>
      </c>
      <c r="F11" s="24" t="inlineStr">
        <is>
          <t>Show progress and lawful treatment without exposing internal rule machinery by default.</t>
        </is>
      </c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44" customHeight="1">
      <c r="A12" s="2" t="inlineStr">
        <is>
          <t>DEC-007</t>
        </is>
      </c>
      <c r="B12" s="24" t="inlineStr">
        <is>
          <t>Budget ceiling and affordability remain separate from the statutory reservation measure.</t>
        </is>
      </c>
      <c r="C12" s="2" t="inlineStr">
        <is>
          <t>Approved</t>
        </is>
      </c>
      <c r="D12" s="24" t="inlineStr">
        <is>
          <t>BUD-CHG-001 / PLN-CHG-001</t>
        </is>
      </c>
      <c r="E12" s="24" t="inlineStr">
        <is>
          <t>Separate services and data contracts.</t>
        </is>
      </c>
      <c r="F12" s="24" t="inlineStr">
        <is>
          <t>Do not ask users to enter a reservation denominator in Budget.</t>
        </is>
      </c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4" customHeight="1">
      <c r="A13" s="2" t="inlineStr">
        <is>
          <t>DEC-008</t>
        </is>
      </c>
      <c r="B13" s="24" t="inlineStr">
        <is>
          <t>County resident procurement is a separate measure from the 30% reservation programme.</t>
        </is>
      </c>
      <c r="C13" s="2" t="inlineStr">
        <is>
          <t>Approved</t>
        </is>
      </c>
      <c r="D13" s="24" t="inlineStr">
        <is>
          <t>LAW-REG-001 / PLN-CHG-001</t>
        </is>
      </c>
      <c r="E13" s="24" t="inlineStr">
        <is>
          <t>Separate flags, rules and reports.</t>
        </is>
      </c>
      <c r="F13" s="24" t="inlineStr">
        <is>
          <t>Do not combine them into one designation field or result.</t>
        </is>
      </c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44" customHeight="1">
      <c r="A14" s="2" t="inlineStr">
        <is>
          <t>DEC-009</t>
        </is>
      </c>
      <c r="B14" s="24" t="inlineStr">
        <is>
          <t>Tender Preparation and Tender Publication form one Tenders module and one coherent user journey.</t>
        </is>
      </c>
      <c r="C14" s="2" t="inlineStr">
        <is>
          <t>Approved</t>
        </is>
      </c>
      <c r="D14" s="24" t="inlineStr">
        <is>
          <t>TPR-CHG-001</t>
        </is>
      </c>
      <c r="E14" s="24" t="inlineStr">
        <is>
          <t>One lifecycle and ownership model.</t>
        </is>
      </c>
      <c r="F14" s="24" t="inlineStr">
        <is>
          <t>Preparation naturally continues into approval and publication evidence.</t>
        </is>
      </c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4" customHeight="1">
      <c r="A15" s="2" t="inlineStr">
        <is>
          <t>DEC-010</t>
        </is>
      </c>
      <c r="B15" s="24" t="inlineStr">
        <is>
          <t>For MVP, HOPF may manually confirm publication evidence for any configured channel; integration is not presumed.</t>
        </is>
      </c>
      <c r="C15" s="2" t="inlineStr">
        <is>
          <t>Approved</t>
        </is>
      </c>
      <c r="D15" s="24" t="inlineStr">
        <is>
          <t>TPR-CHG-001 / CFG-CHG-002</t>
        </is>
      </c>
      <c r="E15" s="24" t="inlineStr">
        <is>
          <t>Support manual evidence with actor/time/digest/reference.</t>
        </is>
      </c>
      <c r="F15" s="24" t="inlineStr">
        <is>
          <t>Show one channel list with the appropriate confirmation action.</t>
        </is>
      </c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44" customHeight="1">
      <c r="A16" s="2" t="inlineStr">
        <is>
          <t>DEC-011</t>
        </is>
      </c>
      <c r="B16" s="24" t="inlineStr">
        <is>
          <t>Suppliers start a bid atomically; there is no separate Declare interest or Follow Tender workflow.</t>
        </is>
      </c>
      <c r="C16" s="2" t="inlineStr">
        <is>
          <t>Approved</t>
        </is>
      </c>
      <c r="D16" s="24" t="inlineStr">
        <is>
          <t>BDS-CHG-001</t>
        </is>
      </c>
      <c r="E16" s="24" t="inlineStr">
        <is>
          <t>Create candidate registration, contact and workspace together.</t>
        </is>
      </c>
      <c r="F16" s="24" t="inlineStr">
        <is>
          <t>Use one direct Start bid action.</t>
        </is>
      </c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44" customHeight="1">
      <c r="A17" s="2" t="inlineStr">
        <is>
          <t>DEC-012</t>
        </is>
      </c>
      <c r="B17" s="24" t="inlineStr">
        <is>
          <t>General clarifications may be published before the deadline without disclosing candidate identity.</t>
        </is>
      </c>
      <c r="C17" s="2" t="inlineStr">
        <is>
          <t>Approved</t>
        </is>
      </c>
      <c r="D17" s="24" t="inlineStr">
        <is>
          <t>TPR-CHG-001 / BDS-CHG-001</t>
        </is>
      </c>
      <c r="E17" s="24" t="inlineStr">
        <is>
          <t>Separate question identity from public answer content.</t>
        </is>
      </c>
      <c r="F17" s="24" t="inlineStr">
        <is>
          <t>Suppliers see published clarification updates in the workspace.</t>
        </is>
      </c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44" customHeight="1">
      <c r="A18" s="2" t="inlineStr">
        <is>
          <t>DEC-013</t>
        </is>
      </c>
      <c r="B18" s="24" t="inlineStr">
        <is>
          <t>Any change to issued tender requirements requires an addendum with immutable identity and acknowledgement treatment.</t>
        </is>
      </c>
      <c r="C18" s="2" t="inlineStr">
        <is>
          <t>Approved</t>
        </is>
      </c>
      <c r="D18" s="24" t="inlineStr">
        <is>
          <t>TPR-CHG-001 / BDS-CHG-001</t>
        </is>
      </c>
      <c r="E18" s="24" t="inlineStr">
        <is>
          <t>Clarification cannot mutate published rows.</t>
        </is>
      </c>
      <c r="F18" s="24" t="inlineStr">
        <is>
          <t>Clearly distinguish Clarification from Addendum.</t>
        </is>
      </c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44" customHeight="1">
      <c r="A19" s="2" t="inlineStr">
        <is>
          <t>DEC-014</t>
        </is>
      </c>
      <c r="B19" s="24" t="inlineStr">
        <is>
          <t>Production electronic submission remains disabled by one deployment flag until operating and release gates pass.</t>
        </is>
      </c>
      <c r="C19" s="2" t="inlineStr">
        <is>
          <t>Approved</t>
        </is>
      </c>
      <c r="D19" s="24" t="inlineStr">
        <is>
          <t>BDS-CHG-001 / G1-REG-001</t>
        </is>
      </c>
      <c r="E19" s="24" t="inlineStr">
        <is>
          <t>Central gate; drafts remain safe.</t>
        </is>
      </c>
      <c r="F19" s="24" t="inlineStr">
        <is>
          <t>Use the approved temporary-unavailability message.</t>
        </is>
      </c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44" customHeight="1">
      <c r="A20" s="2" t="inlineStr">
        <is>
          <t>DEC-015</t>
        </is>
      </c>
      <c r="B20" s="24" t="inlineStr">
        <is>
          <t>Gate 1 ends when a sealed Bid Submission handoff is created; opening and evaluation are outside the current slice.</t>
        </is>
      </c>
      <c r="C20" s="2" t="inlineStr">
        <is>
          <t>Approved</t>
        </is>
      </c>
      <c r="D20" s="24" t="inlineStr">
        <is>
          <t>G1-REG-001 / BDS-CHG-001</t>
        </is>
      </c>
      <c r="E20" s="24" t="inlineStr">
        <is>
          <t>No premature downstream state changes.</t>
        </is>
      </c>
      <c r="F20" s="24" t="inlineStr">
        <is>
          <t>Receipt and submitted state only.</t>
        </is>
      </c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44" customHeight="1">
      <c r="A21" s="2" t="inlineStr">
        <is>
          <t>DEC-016</t>
        </is>
      </c>
      <c r="B21" s="24" t="inlineStr">
        <is>
          <t>Bid Opening, Evaluation and Award, Supplier Management, additional methods/products, Contract Management and integrations remain explicitly planned future work.</t>
        </is>
      </c>
      <c r="C21" s="2" t="inlineStr">
        <is>
          <t>Approved</t>
        </is>
      </c>
      <c r="D21" s="24" t="inlineStr">
        <is>
          <t>KT-RCA-001 / G1-REG-001</t>
        </is>
      </c>
      <c r="E21" s="24" t="inlineStr">
        <is>
          <t>Preserve extension contracts without implementing hidden workflows.</t>
        </is>
      </c>
      <c r="F21" s="24" t="inlineStr">
        <is>
          <t>Do not expose placeholder journeys as current capability.</t>
        </is>
      </c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44" customHeight="1">
      <c r="A22" s="2" t="inlineStr">
        <is>
          <t>DEC-017</t>
        </is>
      </c>
      <c r="B22" s="24" t="inlineStr">
        <is>
          <t>No meaningful record state may dead-end: the server must return exactly one actionable-now, waiting, blocked-with-remedy or completed next-step outcome for the current responsibility.</t>
        </is>
      </c>
      <c r="C22" s="2" t="inlineStr">
        <is>
          <t>Approved</t>
        </is>
      </c>
      <c r="D22" s="24" t="inlineStr">
        <is>
          <t>KT-STD-001 v1.9 / current module document</t>
        </is>
      </c>
      <c r="E22" s="24" t="inlineStr">
        <is>
          <t>Centralise next-step and guard evaluation and test every supported persona/state pair.</t>
        </is>
      </c>
      <c r="F22" s="24" t="inlineStr">
        <is>
          <t>Show one direct next-step block with owner and correction route; do not leave users to infer workflow from status.</t>
        </is>
      </c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44" customHeight="1">
      <c r="A23" s="2" t="inlineStr">
        <is>
          <t>DEC-018</t>
        </is>
      </c>
      <c r="B23" s="24" t="inlineStr">
        <is>
          <t>A Planning budget revision request is a cross-module hand-off only; it is not an amount change, reservation, budget revision or approval.</t>
        </is>
      </c>
      <c r="C23" s="2" t="inlineStr">
        <is>
          <t>Approved</t>
        </is>
      </c>
      <c r="D23" s="24" t="inlineStr">
        <is>
          <t>PLN-CHG-001 v1.27 / BUD-CHG-001 v1.11</t>
        </is>
      </c>
      <c r="E23" s="24" t="inlineStr">
        <is>
          <t>Keep Planning request identity and Budget-owned outcome separate from allocation facts.</t>
        </is>
      </c>
      <c r="F23" s="24" t="inlineStr">
        <is>
          <t>Explain what was requested, who acts next and what outcome returned without implying that funding changed.</t>
        </is>
      </c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44" customHeight="1">
      <c r="A24" s="2" t="inlineStr">
        <is>
          <t>DEC-019</t>
        </is>
      </c>
      <c r="B24" s="24" t="inlineStr">
        <is>
          <t>Plan activation creates a REQ-owned Purchase ready for requisition item in the existing Ready to start surface.</t>
        </is>
      </c>
      <c r="C24" s="2" t="inlineStr">
        <is>
          <t>Approved</t>
        </is>
      </c>
      <c r="D24" s="24" t="inlineStr">
        <is>
          <t>PLN-CHG-001 v1.27 / REQ-CHG-001 v1.12</t>
        </is>
      </c>
      <c r="E24" s="24" t="inlineStr">
        <is>
          <t>Use the existing requisition aggregate and lifecycle; add no parallel task record, state, role, command or approval stage.</t>
        </is>
      </c>
      <c r="F24" s="24" t="inlineStr">
        <is>
          <t>Expose the ready item in the current requisition workspace, not as another screen or queue.</t>
        </is>
      </c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44" customHeight="1">
      <c r="A25" s="2" t="inlineStr">
        <is>
          <t>DEC-020</t>
        </is>
      </c>
      <c r="B25" s="24" t="inlineStr">
        <is>
          <t>Journey orientation must help users act without duplicating or overwhelming the primary task.</t>
        </is>
      </c>
      <c r="C25" s="2" t="inlineStr">
        <is>
          <t>Approved</t>
        </is>
      </c>
      <c r="D25" s="24" t="inlineStr">
        <is>
          <t>KT-STD-001 v1.9 / Workflow Guidance Standard</t>
        </is>
      </c>
      <c r="E25" s="24" t="inlineStr">
        <is>
          <t>Derive restrained journey context from authoritative workflow state and hand-offs.</t>
        </is>
      </c>
      <c r="F25" s="24" t="inlineStr">
        <is>
          <t>Use concise stage orientation and supporting detail; never replace clear task language with internal state machinery.</t>
        </is>
      </c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44" customHeight="1">
      <c r="A26" s="2" t="inlineStr">
        <is>
          <t>DEC-021</t>
        </is>
      </c>
      <c r="B26" s="24" t="inlineStr">
        <is>
          <t>STD Templates provides inspection and concern capture; an audited deployment-only command switches template use On or Off.</t>
        </is>
      </c>
      <c r="C26" s="2" t="inlineStr">
        <is>
          <t>Approved</t>
        </is>
      </c>
      <c r="D26" s="24" t="inlineStr">
        <is>
          <t>STD-TPL-001 v0.10 / FU-01 OD5</t>
        </is>
      </c>
      <c r="E26" s="24" t="inlineStr">
        <is>
          <t>Install verified immutable assets On by default or Off on request; prohibit editable content DocTypes and Desk switching.</t>
        </is>
      </c>
      <c r="F26" s="24" t="inlineStr">
        <is>
          <t>Show coverage and switch state; no Desk switch.</t>
        </is>
      </c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44" customHeight="1">
      <c r="A27" s="2" t="inlineStr">
        <is>
          <t>DEC-022</t>
        </is>
      </c>
      <c r="B27" s="24" t="inlineStr">
        <is>
          <t>Fixture and production Bid-definition generation use one deterministic compiler and releases bind a versioned renderer adapter.</t>
        </is>
      </c>
      <c r="C27" s="2" t="inlineStr">
        <is>
          <t>Approved</t>
        </is>
      </c>
      <c r="D27" s="24" t="inlineStr">
        <is>
          <t>STD-TPL-001 v0.10 / STD-TPL-IMP-001 v1.1</t>
        </is>
      </c>
      <c r="E27" s="24" t="inlineStr">
        <is>
          <t>One compiler implementation; adapter-bound rendering; no arbitrary fallback.</t>
        </is>
      </c>
      <c r="F27" s="24" t="inlineStr">
        <is>
          <t>Routine users see supported/unavailable outcomes; technical identities remain in collapsed detail.</t>
        </is>
      </c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44" customHeight="1">
      <c r="A28" s="2" t="inlineStr">
        <is>
          <t>DEC-023</t>
        </is>
      </c>
      <c r="B28" s="24" t="inlineStr">
        <is>
          <t>Turning a release Off does not automatically rebind or block an already-bound Tender; safety/legal withdrawal blocks affected unpublished publication.</t>
        </is>
      </c>
      <c r="C28" s="2" t="inlineStr">
        <is>
          <t>Approved</t>
        </is>
      </c>
      <c r="D28" s="24" t="inlineStr">
        <is>
          <t>STD-TPL-001 v0.10 / TPR-CHG-001 v0.12</t>
        </is>
      </c>
      <c r="E28" s="24" t="inlineStr">
        <is>
          <t>Preserve exact bindings and published history; apply the specific withdrawal exception.</t>
        </is>
      </c>
      <c r="F28" s="24" t="inlineStr">
        <is>
          <t>Show the site switch consequence and any withdrawal reason.</t>
        </is>
      </c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63" customHeight="1">
      <c r="A29" s="24" t="inlineStr">
        <is>
          <t>DEC-024</t>
        </is>
      </c>
      <c r="B29" s="24" t="inlineStr">
        <is>
          <t>Template use for new Tenders is a deployment-only per-site On/Off switch; installation needs no owner approval and sets On by default unless Off is requested.</t>
        </is>
      </c>
      <c r="C29" s="24" t="inlineStr">
        <is>
          <t>Approved</t>
        </is>
      </c>
      <c r="D29" s="24" t="inlineStr">
        <is>
          <t>STD-TPL-001 v0.10 / FU-01 OD5, 2026-09-26</t>
        </is>
      </c>
      <c r="E29" s="24" t="inlineStr">
        <is>
          <t>New binding requires exactly one On Available release per template key; multiple On releases refuse binding. Existing bindings stay pinned.</t>
        </is>
      </c>
      <c r="F29" s="24" t="inlineStr">
        <is>
          <t>Read-only On/Off state in STD Templates, with actor and time.</t>
        </is>
      </c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inlineStr">
        <is>
          <t>DEC-025</t>
        </is>
      </c>
      <c r="B30" s="2" t="inlineStr">
        <is>
          <t>Keep ordinary authenticated workflow decisions distinct from statutory advanced electronic signatures; defer actual signing to the shared Trust, Signing and Custody support module.</t>
        </is>
      </c>
      <c r="C30" s="2" t="inlineStr">
        <is>
          <t>Approved</t>
        </is>
      </c>
      <c r="D30" s="2" t="inlineStr">
        <is>
          <t>TRUST-ADR-001 v0.1, 2026-09-27</t>
        </is>
      </c>
      <c r="E30" s="2" t="inlineStr">
        <is>
          <t>Exact-target, per-member test attestations allowed only with synthetic data and explicit test labels; real signing requires personal provider evidence and legal page/initial mapping.</t>
        </is>
      </c>
      <c r="F30" s="2" t="inlineStr">
        <is>
          <t>Show Test attestation in test profile; no generic approval as a signature.</t>
        </is>
      </c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inlineStr">
        <is>
          <t>DEC-026</t>
        </is>
      </c>
      <c r="B31" s="2" t="inlineStr">
        <is>
          <t>Keep sealed-bid custody and multi-person opening release independent of chair/admin authority; defer real keys, provider and threshold to shared infrastructure.</t>
        </is>
      </c>
      <c r="C31" s="2" t="inlineStr">
        <is>
          <t>Approved</t>
        </is>
      </c>
      <c r="D31" s="2" t="inlineStr">
        <is>
          <t>TRUST-ADR-001 v0.1, 2026-09-27</t>
        </is>
      </c>
      <c r="E31" s="2" t="inlineStr">
        <is>
          <t>Synthetic tender-box and two-person test release may exercise ceremony; BDS production submission flag stays false and BOP production disabled until verified real services.</t>
        </is>
      </c>
      <c r="F31" s="2" t="inlineStr">
        <is>
          <t>Visible test-environment status and honest unavailable production guidance; no proxy receipt as a live Submitted bid.</t>
        </is>
      </c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inlineStr">
        <is>
          <t>DEC-027</t>
        </is>
      </c>
      <c r="B32" s="2" t="inlineStr">
        <is>
          <t>The Bid Evaluation and Award fixtures run on the canonical Tender's generated reference; the specifications' "tender 033" (TND-MOH-2027-033) is an example of the generated form.</t>
        </is>
      </c>
      <c r="C32" s="2" t="inlineStr">
        <is>
          <t>Approved</t>
        </is>
      </c>
      <c r="D32" s="2" t="inlineStr">
        <is>
          <t>SEED-OPS-001 v1.17 §11 D19; Project Owner, 2026-10-01: "Keep generated codes"</t>
        </is>
      </c>
      <c r="E32" s="2" t="inlineStr">
        <is>
          <t>No seed change. EVL-CHG-001 §11.1 and AWD-CHG-001 §13 state the example form in their next versions.</t>
        </is>
      </c>
      <c r="F32" s="2" t="inlineStr">
        <is>
          <t>None.</t>
        </is>
      </c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inlineStr">
        <is>
          <t>DEC-028</t>
        </is>
      </c>
      <c r="B33" s="2" t="inlineStr">
        <is>
          <t>The canonical seed exercises every module stage as it is built.</t>
        </is>
      </c>
      <c r="C33" s="2" t="inlineStr">
        <is>
          <t>Approved</t>
        </is>
      </c>
      <c r="D33" s="2" t="inlineStr">
        <is>
          <t>SEED-OPS-001 v1.17 §11 D20; Project Owner, 2026-10-01: "The seed should exercise all stages as they are built."</t>
        </is>
      </c>
      <c r="E33" s="2" t="inlineStr">
        <is>
          <t>Each module adds its canonical seed stage, validator and runbook entry when it is built, as Bid Submission, Bid Opening, Bid Evaluation and Award have. SEED-001's successor replaces v1.3 §5.2's "No opening/evaluation/award actual generated by this seed".</t>
        </is>
      </c>
      <c r="F33" s="2" t="inlineStr">
        <is>
          <t>None.</t>
        </is>
      </c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2">
    <mergeCell ref="A2:F2"/>
    <mergeCell ref="A1:F1"/>
  </mergeCells>
  <conditionalFormatting sqref="C6:C28">
    <cfRule type="containsText" priority="1" operator="containsText" dxfId="2" text="Approved"/>
    <cfRule type="containsText" priority="2" operator="containsText" dxfId="2" text="Passed"/>
    <cfRule type="containsText" priority="3" operator="containsText" dxfId="2" text="Released"/>
    <cfRule type="containsText" priority="4" operator="containsText" dxfId="1" text="Project Owner review"/>
    <cfRule type="containsText" priority="5" operator="containsText" dxfId="6" text="Pending"/>
    <cfRule type="containsText" priority="6" operator="containsText" dxfId="0" text="Blocked"/>
    <cfRule type="containsText" priority="7" operator="containsText" dxfId="0" text="unresolved"/>
    <cfRule type="containsText" priority="8" operator="containsText" dxfId="9" text="Not started"/>
    <cfRule type="containsText" priority="9" operator="containsText" dxfId="9" text="Not evidenc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Z20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3" customWidth="1" min="1" max="1"/>
    <col width="22" customWidth="1" min="2" max="2"/>
    <col width="42" customWidth="1" min="3" max="3"/>
    <col width="46" customWidth="1" min="4" max="4"/>
    <col width="44" customWidth="1" min="5" max="5"/>
    <col width="38" customWidth="1" min="6" max="6"/>
    <col width="22" customWidth="1" min="7" max="7"/>
    <col width="13" customWidth="1" min="8" max="8"/>
    <col width="18" customWidth="1" min="9" max="9"/>
    <col width="16" customWidth="1" min="10" max="10"/>
    <col width="38" customWidth="1" min="11" max="11"/>
  </cols>
  <sheetData>
    <row r="1" ht="38" customHeight="1">
      <c r="A1" s="5" t="inlineStr">
        <is>
          <t>Implementation and design delivery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Use this as the shared correction and implementation queue for requirements, design and code. Update implementation and verification only from evidence; do not infer them from document approval.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6" customHeight="1">
      <c r="A5" s="35" t="inlineStr">
        <is>
          <t>Item ID</t>
        </is>
      </c>
      <c r="B5" s="35" t="inlineStr">
        <is>
          <t>Area</t>
        </is>
      </c>
      <c r="C5" s="35" t="inlineStr">
        <is>
          <t>Required change</t>
        </is>
      </c>
      <c r="D5" s="35" t="inlineStr">
        <is>
          <t>Functional outcome</t>
        </is>
      </c>
      <c r="E5" s="35" t="inlineStr">
        <is>
          <t>Design outcome</t>
        </is>
      </c>
      <c r="F5" s="35" t="inlineStr">
        <is>
          <t>Owning document</t>
        </is>
      </c>
      <c r="G5" s="35" t="inlineStr">
        <is>
          <t>Requirement status</t>
        </is>
      </c>
      <c r="H5" s="35" t="inlineStr">
        <is>
          <t>Release gate</t>
        </is>
      </c>
      <c r="I5" s="35" t="inlineStr">
        <is>
          <t>Implementation</t>
        </is>
      </c>
      <c r="J5" s="35" t="inlineStr">
        <is>
          <t>Verification</t>
        </is>
      </c>
      <c r="K5" s="35" t="inlineStr">
        <is>
          <t>Evidence / notes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44" customHeight="1">
      <c r="A6" s="2" t="inlineStr">
        <is>
          <t>G1-001</t>
        </is>
      </c>
      <c r="B6" s="24" t="inlineStr">
        <is>
          <t>System Setup</t>
        </is>
      </c>
      <c r="C6" s="24" t="inlineStr">
        <is>
          <t>Add supplier-portal operating settings and clear action effects.</t>
        </is>
      </c>
      <c r="D6" s="24" t="inlineStr">
        <is>
          <t>Configure availability, support contact and public-facing controls.</t>
        </is>
      </c>
      <c r="E6" s="24" t="inlineStr">
        <is>
          <t>Task-oriented settings with effective-state explanation.</t>
        </is>
      </c>
      <c r="F6" s="24" t="inlineStr">
        <is>
          <t>CFG-CHG-002 v0.16</t>
        </is>
      </c>
      <c r="G6" s="24" t="inlineStr">
        <is>
          <t>Project Owner review</t>
        </is>
      </c>
      <c r="H6" s="24" t="inlineStr">
        <is>
          <t>Yes</t>
        </is>
      </c>
      <c r="I6" s="24" t="inlineStr">
        <is>
          <t>Not started</t>
        </is>
      </c>
      <c r="J6" s="24" t="inlineStr">
        <is>
          <t>Not started</t>
        </is>
      </c>
      <c r="K6" s="24" t="str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44" customHeight="1">
      <c r="A7" s="2" t="inlineStr">
        <is>
          <t>G1-002</t>
        </is>
      </c>
      <c r="B7" s="24" t="inlineStr">
        <is>
          <t>STD Templates</t>
        </is>
      </c>
      <c r="C7" s="24" t="inlineStr">
        <is>
          <t>Create dedicated STD Templates administration surface.</t>
        </is>
      </c>
      <c r="D7" s="24" t="inlineStr">
        <is>
          <t>Inspect installed formats, release identity, support and verification.</t>
        </is>
      </c>
      <c r="E7" s="24" t="inlineStr">
        <is>
          <t>List and detail views; no generic schema editor.</t>
        </is>
      </c>
      <c r="F7" s="24" t="inlineStr">
        <is>
          <t>CFG-CHG-002 v0.16 / STD-TPL-001 v0.10</t>
        </is>
      </c>
      <c r="G7" s="24" t="inlineStr">
        <is>
          <t>Mixed approved/proposed</t>
        </is>
      </c>
      <c r="H7" s="24" t="inlineStr">
        <is>
          <t>Yes</t>
        </is>
      </c>
      <c r="I7" s="24" t="inlineStr">
        <is>
          <t>Not started</t>
        </is>
      </c>
      <c r="J7" s="24" t="inlineStr">
        <is>
          <t>Not started</t>
        </is>
      </c>
      <c r="K7" s="24" t="str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4" customHeight="1">
      <c r="A8" s="2" t="inlineStr">
        <is>
          <t>G1-003</t>
        </is>
      </c>
      <c r="B8" s="24" t="inlineStr">
        <is>
          <t>STD Templates</t>
        </is>
      </c>
      <c r="C8" s="24" t="inlineStr">
        <is>
          <t>Rebuild IT Equipment release with structured supplier-response schema.</t>
        </is>
      </c>
      <c r="D8" s="24" t="inlineStr">
        <is>
          <t>Add stable row IDs, response types, evidence and declaration rules.</t>
        </is>
      </c>
      <c r="E8" s="24" t="inlineStr">
        <is>
          <t>Generated task sections for the supplier workspace.</t>
        </is>
      </c>
      <c r="F8" s="24" t="inlineStr">
        <is>
          <t>STD-TPL-001 v0.10</t>
        </is>
      </c>
      <c r="G8" s="24" t="inlineStr">
        <is>
          <t>Approved requirement</t>
        </is>
      </c>
      <c r="H8" s="24" t="inlineStr">
        <is>
          <t>Yes</t>
        </is>
      </c>
      <c r="I8" s="24" t="inlineStr">
        <is>
          <t>Not started</t>
        </is>
      </c>
      <c r="J8" s="24" t="inlineStr">
        <is>
          <t>Not started</t>
        </is>
      </c>
      <c r="K8" s="24" t="str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4" customHeight="1">
      <c r="A9" s="2" t="inlineStr">
        <is>
          <t>G1-004</t>
        </is>
      </c>
      <c r="B9" s="24" t="inlineStr">
        <is>
          <t>STD Templates</t>
        </is>
      </c>
      <c r="C9" s="24" t="inlineStr">
        <is>
          <t>Add evaluation and contract-destination mappings.</t>
        </is>
      </c>
      <c r="D9" s="24" t="inlineStr">
        <is>
          <t>Every carried response has explicit downstream treatment; group-level evaluation allowed where defined.</t>
        </is>
      </c>
      <c r="E9" s="24" t="inlineStr">
        <is>
          <t>Admin sees labelled mapping summaries, not raw JSON.</t>
        </is>
      </c>
      <c r="F9" s="24" t="inlineStr">
        <is>
          <t>STD-TPL-001 v0.10</t>
        </is>
      </c>
      <c r="G9" s="24" t="inlineStr">
        <is>
          <t>Approved requirement</t>
        </is>
      </c>
      <c r="H9" s="24" t="inlineStr">
        <is>
          <t>Yes</t>
        </is>
      </c>
      <c r="I9" s="24" t="inlineStr">
        <is>
          <t>Not started</t>
        </is>
      </c>
      <c r="J9" s="24" t="inlineStr">
        <is>
          <t>Not started</t>
        </is>
      </c>
      <c r="K9" s="24" t="str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4" customHeight="1">
      <c r="A10" s="2" t="inlineStr">
        <is>
          <t>G1-005</t>
        </is>
      </c>
      <c r="B10" s="24" t="inlineStr">
        <is>
          <t>STD Templates</t>
        </is>
      </c>
      <c r="C10" s="24" t="inlineStr">
        <is>
          <t>Verify the installed release and provide a deployment-only site On/Off switch.</t>
        </is>
      </c>
      <c r="D10" s="24" t="inlineStr">
        <is>
          <t>Check manifest and assets during installation; install On by default or Off by deployment request.</t>
        </is>
      </c>
      <c r="E10" s="24" t="inlineStr">
        <is>
          <t>Show the read-only switch state and specific integrity/compatibility errors.</t>
        </is>
      </c>
      <c r="F10" s="24" t="inlineStr">
        <is>
          <t>STD-TPL-001 v0.10</t>
        </is>
      </c>
      <c r="G10" s="24" t="inlineStr">
        <is>
          <t>Approved requirement</t>
        </is>
      </c>
      <c r="H10" s="24" t="inlineStr">
        <is>
          <t>Yes</t>
        </is>
      </c>
      <c r="I10" s="24" t="inlineStr">
        <is>
          <t>Not started</t>
        </is>
      </c>
      <c r="J10" s="24" t="inlineStr">
        <is>
          <t>Pending</t>
        </is>
      </c>
      <c r="K10" s="24" t="str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4" customHeight="1">
      <c r="A11" s="2" t="inlineStr">
        <is>
          <t>G1-006</t>
        </is>
      </c>
      <c r="B11" s="24" t="inlineStr">
        <is>
          <t>Tenders</t>
        </is>
      </c>
      <c r="C11" s="24" t="inlineStr">
        <is>
          <t>Consume only an authorised requisition handoff.</t>
        </is>
      </c>
      <c r="D11" s="24" t="inlineStr">
        <is>
          <t>Reject absent, stale or unauthorised source data.</t>
        </is>
      </c>
      <c r="E11" s="24" t="inlineStr">
        <is>
          <t>Name the source problem and owner without technical codes.</t>
        </is>
      </c>
      <c r="F11" s="24" t="inlineStr">
        <is>
          <t>REQ-CHG-001 v1.12 / TPR-CHG-001 v0.13</t>
        </is>
      </c>
      <c r="G11" s="24" t="inlineStr">
        <is>
          <t>Approved requirement</t>
        </is>
      </c>
      <c r="H11" s="24" t="inlineStr">
        <is>
          <t>Yes</t>
        </is>
      </c>
      <c r="I11" s="24" t="inlineStr">
        <is>
          <t>Not started</t>
        </is>
      </c>
      <c r="J11" s="24" t="inlineStr">
        <is>
          <t>Not started</t>
        </is>
      </c>
      <c r="K11" s="24" t="str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44" customHeight="1">
      <c r="A12" s="2" t="inlineStr">
        <is>
          <t>G1-007</t>
        </is>
      </c>
      <c r="B12" s="24" t="inlineStr">
        <is>
          <t>Tenders</t>
        </is>
      </c>
      <c r="C12" s="24" t="inlineStr">
        <is>
          <t>Prepare Tender from an exact installed template that is On for new binding.</t>
        </is>
      </c>
      <c r="D12" s="24" t="inlineStr">
        <is>
          <t>Bind template, renderer and response schema identities only when exactly one release is On and checks pass.</t>
        </is>
      </c>
      <c r="E12" s="24" t="inlineStr">
        <is>
          <t>Progressive preparation journey with concise supporting detail.</t>
        </is>
      </c>
      <c r="F12" s="24" t="inlineStr">
        <is>
          <t>TPR-CHG-001 v0.13 / STD-TPL-001 v0.10</t>
        </is>
      </c>
      <c r="G12" s="24" t="inlineStr">
        <is>
          <t>Approved requirement</t>
        </is>
      </c>
      <c r="H12" s="24" t="inlineStr">
        <is>
          <t>Yes</t>
        </is>
      </c>
      <c r="I12" s="24" t="inlineStr">
        <is>
          <t>Not started</t>
        </is>
      </c>
      <c r="J12" s="24" t="inlineStr">
        <is>
          <t>Not started</t>
        </is>
      </c>
      <c r="K12" s="24" t="str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4" customHeight="1">
      <c r="A13" s="2" t="inlineStr">
        <is>
          <t>G1-008</t>
        </is>
      </c>
      <c r="B13" s="24" t="inlineStr">
        <is>
          <t>Tenders</t>
        </is>
      </c>
      <c r="C13" s="24" t="inlineStr">
        <is>
          <t>Support publication confirmation without presuming integrations.</t>
        </is>
      </c>
      <c r="D13" s="24" t="inlineStr">
        <is>
          <t>HOPF may record evidence for configured channels.</t>
        </is>
      </c>
      <c r="E13" s="24" t="inlineStr">
        <is>
          <t>Clear confirmed/evidence-required states and direct actions.</t>
        </is>
      </c>
      <c r="F13" s="24" t="inlineStr">
        <is>
          <t>TPR-CHG-001 v0.13</t>
        </is>
      </c>
      <c r="G13" s="24" t="inlineStr">
        <is>
          <t>Approved requirement</t>
        </is>
      </c>
      <c r="H13" s="24" t="inlineStr">
        <is>
          <t>Yes</t>
        </is>
      </c>
      <c r="I13" s="24" t="inlineStr">
        <is>
          <t>Not started</t>
        </is>
      </c>
      <c r="J13" s="24" t="inlineStr">
        <is>
          <t>Not started</t>
        </is>
      </c>
      <c r="K13" s="24" t="str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44" customHeight="1">
      <c r="A14" s="2" t="inlineStr">
        <is>
          <t>G1-009</t>
        </is>
      </c>
      <c r="B14" s="24" t="inlineStr">
        <is>
          <t>Tenders</t>
        </is>
      </c>
      <c r="C14" s="24" t="inlineStr">
        <is>
          <t>Implement candidate clarifications and published answers.</t>
        </is>
      </c>
      <c r="D14" s="24" t="inlineStr">
        <is>
          <t>Protect candidate identity and publish general answers lawfully.</t>
        </is>
      </c>
      <c r="E14" s="24" t="inlineStr">
        <is>
          <t>One understandable clarification feed.</t>
        </is>
      </c>
      <c r="F14" s="24" t="inlineStr">
        <is>
          <t>TPR-CHG-001 v0.13 / BDS-CHG-001 v0.8</t>
        </is>
      </c>
      <c r="G14" s="24" t="inlineStr">
        <is>
          <t>Approved requirement</t>
        </is>
      </c>
      <c r="H14" s="24" t="inlineStr">
        <is>
          <t>No</t>
        </is>
      </c>
      <c r="I14" s="24" t="inlineStr">
        <is>
          <t>Not started</t>
        </is>
      </c>
      <c r="J14" s="24" t="inlineStr">
        <is>
          <t>Not started</t>
        </is>
      </c>
      <c r="K14" s="24" t="str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4" customHeight="1">
      <c r="A15" s="2" t="inlineStr">
        <is>
          <t>G1-010</t>
        </is>
      </c>
      <c r="B15" s="24" t="inlineStr">
        <is>
          <t>Tenders</t>
        </is>
      </c>
      <c r="C15" s="24" t="inlineStr">
        <is>
          <t>Implement addenda as the only requirement-change mechanism.</t>
        </is>
      </c>
      <c r="D15" s="24" t="inlineStr">
        <is>
          <t>Issue immutable addendum and update affected bid definition.</t>
        </is>
      </c>
      <c r="E15" s="24" t="inlineStr">
        <is>
          <t>Prominent change notice and acknowledgement state.</t>
        </is>
      </c>
      <c r="F15" s="24" t="inlineStr">
        <is>
          <t>TPR-CHG-001 v0.13 / BDS-CHG-001 v0.8</t>
        </is>
      </c>
      <c r="G15" s="24" t="inlineStr">
        <is>
          <t>Approved requirement</t>
        </is>
      </c>
      <c r="H15" s="24" t="inlineStr">
        <is>
          <t>Yes</t>
        </is>
      </c>
      <c r="I15" s="24" t="inlineStr">
        <is>
          <t>Not started</t>
        </is>
      </c>
      <c r="J15" s="24" t="inlineStr">
        <is>
          <t>Not started</t>
        </is>
      </c>
      <c r="K15" s="24" t="str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44" customHeight="1">
      <c r="A16" s="2" t="inlineStr">
        <is>
          <t>G1-011</t>
        </is>
      </c>
      <c r="B16" s="24" t="inlineStr">
        <is>
          <t>Public Portal</t>
        </is>
      </c>
      <c r="C16" s="24" t="inlineStr">
        <is>
          <t>Publish tender list and tender detail pages.</t>
        </is>
      </c>
      <c r="D16" s="24" t="inlineStr">
        <is>
          <t>Public read access to issued tenders and current documents.</t>
        </is>
      </c>
      <c r="E16" s="24" t="inlineStr">
        <is>
          <t>Simple search/list/detail; reusable framework pages where suitable.</t>
        </is>
      </c>
      <c r="F16" s="24" t="inlineStr">
        <is>
          <t>TPR-CHG-001 v0.13 / BDS-CHG-001 v0.8</t>
        </is>
      </c>
      <c r="G16" s="24" t="inlineStr">
        <is>
          <t>Approved requirement</t>
        </is>
      </c>
      <c r="H16" s="24" t="inlineStr">
        <is>
          <t>Yes</t>
        </is>
      </c>
      <c r="I16" s="24" t="inlineStr">
        <is>
          <t>Not started</t>
        </is>
      </c>
      <c r="J16" s="24" t="inlineStr">
        <is>
          <t>Not started</t>
        </is>
      </c>
      <c r="K16" s="24" t="str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44" customHeight="1">
      <c r="A17" s="2" t="inlineStr">
        <is>
          <t>G1-012</t>
        </is>
      </c>
      <c r="B17" s="24" t="inlineStr">
        <is>
          <t>Supplier Access</t>
        </is>
      </c>
      <c r="C17" s="24" t="inlineStr">
        <is>
          <t>Use framework registration/login and return-to-tender behaviour.</t>
        </is>
      </c>
      <c r="D17" s="24" t="inlineStr">
        <is>
          <t>Authenticate supplier contact and preserve intended destination.</t>
        </is>
      </c>
      <c r="E17" s="24" t="inlineStr">
        <is>
          <t>Direct access with minimal account friction.</t>
        </is>
      </c>
      <c r="F17" s="24" t="inlineStr">
        <is>
          <t>BDS-CHG-001 v0.8</t>
        </is>
      </c>
      <c r="G17" s="24" t="inlineStr">
        <is>
          <t>Approved requirement</t>
        </is>
      </c>
      <c r="H17" s="24" t="inlineStr">
        <is>
          <t>Yes</t>
        </is>
      </c>
      <c r="I17" s="24" t="inlineStr">
        <is>
          <t>Not started</t>
        </is>
      </c>
      <c r="J17" s="24" t="inlineStr">
        <is>
          <t>Not started</t>
        </is>
      </c>
      <c r="K17" s="24" t="str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44" customHeight="1">
      <c r="A18" s="2" t="inlineStr">
        <is>
          <t>G1-013</t>
        </is>
      </c>
      <c r="B18" s="24" t="inlineStr">
        <is>
          <t>Supplier Access</t>
        </is>
      </c>
      <c r="C18" s="24" t="inlineStr">
        <is>
          <t>Scope users to their own supplier organisation.</t>
        </is>
      </c>
      <c r="D18" s="24" t="inlineStr">
        <is>
          <t>Use the framework permission extension point.</t>
        </is>
      </c>
      <c r="E18" s="24" t="inlineStr">
        <is>
          <t>Never expose cross-supplier records or selectors.</t>
        </is>
      </c>
      <c r="F18" s="24" t="inlineStr">
        <is>
          <t>BDS-CHG-001 v0.8 / AUTH-ADR-001 v1.10</t>
        </is>
      </c>
      <c r="G18" s="24" t="inlineStr">
        <is>
          <t>Mixed approved/proposed</t>
        </is>
      </c>
      <c r="H18" s="24" t="inlineStr">
        <is>
          <t>Yes</t>
        </is>
      </c>
      <c r="I18" s="24" t="inlineStr">
        <is>
          <t>Not started</t>
        </is>
      </c>
      <c r="J18" s="24" t="inlineStr">
        <is>
          <t>Not started</t>
        </is>
      </c>
      <c r="K18" s="24" t="str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44" customHeight="1">
      <c r="A19" s="2" t="inlineStr">
        <is>
          <t>G1-014</t>
        </is>
      </c>
      <c r="B19" s="24" t="inlineStr">
        <is>
          <t>Bid Workspace</t>
        </is>
      </c>
      <c r="C19" s="24" t="inlineStr">
        <is>
          <t>Make Start bid atomic.</t>
        </is>
      </c>
      <c r="D19" s="24" t="inlineStr">
        <is>
          <t>Create candidate registration, contact and bid workspace together.</t>
        </is>
      </c>
      <c r="E19" s="24" t="inlineStr">
        <is>
          <t>Single Start bid action and deterministic recovery.</t>
        </is>
      </c>
      <c r="F19" s="24" t="inlineStr">
        <is>
          <t>BDS-CHG-001 v0.8</t>
        </is>
      </c>
      <c r="G19" s="24" t="inlineStr">
        <is>
          <t>Approved requirement</t>
        </is>
      </c>
      <c r="H19" s="24" t="inlineStr">
        <is>
          <t>Yes</t>
        </is>
      </c>
      <c r="I19" s="24" t="inlineStr">
        <is>
          <t>Not started</t>
        </is>
      </c>
      <c r="J19" s="24" t="inlineStr">
        <is>
          <t>Not started</t>
        </is>
      </c>
      <c r="K19" s="24" t="str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44" customHeight="1">
      <c r="A20" s="2" t="inlineStr">
        <is>
          <t>G1-015</t>
        </is>
      </c>
      <c r="B20" s="24" t="inlineStr">
        <is>
          <t>Bid Workspace</t>
        </is>
      </c>
      <c r="C20" s="24" t="inlineStr">
        <is>
          <t>Generate the workspace from the exact PublishedBidDefinition.</t>
        </is>
      </c>
      <c r="D20" s="24" t="inlineStr">
        <is>
          <t>Render only supported typed controls and immutable row identities.</t>
        </is>
      </c>
      <c r="E20" s="24" t="inlineStr">
        <is>
          <t>Goods, Works and Services differ through metadata, not bespoke page forks.</t>
        </is>
      </c>
      <c r="F20" s="24" t="inlineStr">
        <is>
          <t>BDS-CHG-001 v0.8 / STD-TPL-001 v0.10</t>
        </is>
      </c>
      <c r="G20" s="24" t="inlineStr">
        <is>
          <t>Approved requirement</t>
        </is>
      </c>
      <c r="H20" s="24" t="inlineStr">
        <is>
          <t>Yes</t>
        </is>
      </c>
      <c r="I20" s="24" t="inlineStr">
        <is>
          <t>Not started</t>
        </is>
      </c>
      <c r="J20" s="24" t="inlineStr">
        <is>
          <t>Not started</t>
        </is>
      </c>
      <c r="K20" s="24" t="str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44" customHeight="1">
      <c r="A21" s="2" t="inlineStr">
        <is>
          <t>G1-016</t>
        </is>
      </c>
      <c r="B21" s="24" t="inlineStr">
        <is>
          <t>Bid Workspace</t>
        </is>
      </c>
      <c r="C21" s="24" t="inlineStr">
        <is>
          <t>Support documents, company details, requirements, price and review tasks.</t>
        </is>
      </c>
      <c r="D21" s="24" t="inlineStr">
        <is>
          <t>Persist draft answers and validation state per row.</t>
        </is>
      </c>
      <c r="E21" s="24" t="inlineStr">
        <is>
          <t>Short, structured task sections with progress and actionable errors.</t>
        </is>
      </c>
      <c r="F21" s="24" t="inlineStr">
        <is>
          <t>BDS-CHG-001 v0.8</t>
        </is>
      </c>
      <c r="G21" s="24" t="inlineStr">
        <is>
          <t>Approved requirement</t>
        </is>
      </c>
      <c r="H21" s="24" t="inlineStr">
        <is>
          <t>Yes</t>
        </is>
      </c>
      <c r="I21" s="24" t="inlineStr">
        <is>
          <t>Not started</t>
        </is>
      </c>
      <c r="J21" s="24" t="inlineStr">
        <is>
          <t>Not started</t>
        </is>
      </c>
      <c r="K21" s="24" t="str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44" customHeight="1">
      <c r="A22" s="2" t="inlineStr">
        <is>
          <t>G1-017</t>
        </is>
      </c>
      <c r="B22" s="24" t="inlineStr">
        <is>
          <t>Bid Workspace</t>
        </is>
      </c>
      <c r="C22" s="24" t="inlineStr">
        <is>
          <t>Handle addendum refresh and acknowledgement safely.</t>
        </is>
      </c>
      <c r="D22" s="24" t="inlineStr">
        <is>
          <t>Detect definition change, preserve compatible answers and require acknowledgement.</t>
        </is>
      </c>
      <c r="E22" s="24" t="inlineStr">
        <is>
          <t>Explain exactly what changed and what the supplier must revisit.</t>
        </is>
      </c>
      <c r="F22" s="24" t="inlineStr">
        <is>
          <t>BDS-CHG-001 v0.8</t>
        </is>
      </c>
      <c r="G22" s="24" t="inlineStr">
        <is>
          <t>Approved requirement</t>
        </is>
      </c>
      <c r="H22" s="24" t="inlineStr">
        <is>
          <t>Yes</t>
        </is>
      </c>
      <c r="I22" s="24" t="inlineStr">
        <is>
          <t>Not started</t>
        </is>
      </c>
      <c r="J22" s="24" t="inlineStr">
        <is>
          <t>Not started</t>
        </is>
      </c>
      <c r="K22" s="24" t="str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44" customHeight="1">
      <c r="A23" s="2" t="inlineStr">
        <is>
          <t>G1-018</t>
        </is>
      </c>
      <c r="B23" s="24" t="inlineStr">
        <is>
          <t>Bid Submission</t>
        </is>
      </c>
      <c r="C23" s="24" t="inlineStr">
        <is>
          <t>Validate submission availability centrally.</t>
        </is>
      </c>
      <c r="D23" s="24" t="inlineStr">
        <is>
          <t>One deployment flag plus deadline, release and operating checks.</t>
        </is>
      </c>
      <c r="E23" s="24" t="inlineStr">
        <is>
          <t>Approved temporary-unavailability message; drafts remain safe.</t>
        </is>
      </c>
      <c r="F23" s="24" t="inlineStr">
        <is>
          <t>BDS-CHG-001 v0.8 / CFG-CHG-002 v0.16</t>
        </is>
      </c>
      <c r="G23" s="24" t="inlineStr">
        <is>
          <t>Mixed approved/proposed</t>
        </is>
      </c>
      <c r="H23" s="24" t="inlineStr">
        <is>
          <t>Yes</t>
        </is>
      </c>
      <c r="I23" s="24" t="inlineStr">
        <is>
          <t>Not started</t>
        </is>
      </c>
      <c r="J23" s="24" t="inlineStr">
        <is>
          <t>Not started</t>
        </is>
      </c>
      <c r="K23" s="24" t="str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44" customHeight="1">
      <c r="A24" s="2" t="inlineStr">
        <is>
          <t>G1-019</t>
        </is>
      </c>
      <c r="B24" s="24" t="inlineStr">
        <is>
          <t>Bid Submission</t>
        </is>
      </c>
      <c r="C24" s="24" t="inlineStr">
        <is>
          <t>Capture lawful signer authority and declarations.</t>
        </is>
      </c>
      <c r="D24" s="24" t="inlineStr">
        <is>
          <t>Use typed declarations and identity evidence; do not use a drawn-image signature as a cryptographic signature.</t>
        </is>
      </c>
      <c r="E24" s="24" t="inlineStr">
        <is>
          <t>Plain explanation of authority and consequence.</t>
        </is>
      </c>
      <c r="F24" s="24" t="inlineStr">
        <is>
          <t>BDS-CHG-001 v0.8 / STD-TPL-001 v0.10</t>
        </is>
      </c>
      <c r="G24" s="24" t="inlineStr">
        <is>
          <t>Approved requirement</t>
        </is>
      </c>
      <c r="H24" s="24" t="inlineStr">
        <is>
          <t>Yes</t>
        </is>
      </c>
      <c r="I24" s="24" t="inlineStr">
        <is>
          <t>Not started</t>
        </is>
      </c>
      <c r="J24" s="24" t="inlineStr">
        <is>
          <t>Not started</t>
        </is>
      </c>
      <c r="K24" s="24" t="str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44" customHeight="1">
      <c r="A25" s="2" t="inlineStr">
        <is>
          <t>G1-020</t>
        </is>
      </c>
      <c r="B25" s="24" t="inlineStr">
        <is>
          <t>Bid Submission</t>
        </is>
      </c>
      <c r="C25" s="24" t="inlineStr">
        <is>
          <t>Handle tender security/deposit evidence from template metadata.</t>
        </is>
      </c>
      <c r="D25" s="24" t="inlineStr">
        <is>
          <t>Validate applicable instrument, evidence and expiry rules.</t>
        </is>
      </c>
      <c r="E25" s="24" t="inlineStr">
        <is>
          <t>Show only the instrument actually required.</t>
        </is>
      </c>
      <c r="F25" s="24" t="inlineStr">
        <is>
          <t>BDS-CHG-001 v0.8 / STD-TPL-001 v0.10</t>
        </is>
      </c>
      <c r="G25" s="24" t="inlineStr">
        <is>
          <t>Approved requirement</t>
        </is>
      </c>
      <c r="H25" s="24" t="inlineStr">
        <is>
          <t>Yes</t>
        </is>
      </c>
      <c r="I25" s="24" t="inlineStr">
        <is>
          <t>Not started</t>
        </is>
      </c>
      <c r="J25" s="24" t="inlineStr">
        <is>
          <t>Not started</t>
        </is>
      </c>
      <c r="K25" s="24" t="str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44" customHeight="1">
      <c r="A26" s="2" t="inlineStr">
        <is>
          <t>G1-021</t>
        </is>
      </c>
      <c r="B26" s="24" t="inlineStr">
        <is>
          <t>Bid Submission</t>
        </is>
      </c>
      <c r="C26" s="24" t="inlineStr">
        <is>
          <t>Seal bid and create immutable receipt atomically.</t>
        </is>
      </c>
      <c r="D26" s="24" t="inlineStr">
        <is>
          <t>One transaction creates sealed handoff and receipt identity.</t>
        </is>
      </c>
      <c r="E26" s="24" t="inlineStr">
        <is>
          <t>Clear submitted state and downloadable receipt.</t>
        </is>
      </c>
      <c r="F26" s="24" t="inlineStr">
        <is>
          <t>BDS-CHG-001 v0.8</t>
        </is>
      </c>
      <c r="G26" s="24" t="inlineStr">
        <is>
          <t>Approved requirement</t>
        </is>
      </c>
      <c r="H26" s="24" t="inlineStr">
        <is>
          <t>Yes</t>
        </is>
      </c>
      <c r="I26" s="24" t="inlineStr">
        <is>
          <t>Not started</t>
        </is>
      </c>
      <c r="J26" s="24" t="inlineStr">
        <is>
          <t>Not started</t>
        </is>
      </c>
      <c r="K26" s="24" t="str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44" customHeight="1">
      <c r="A27" s="2" t="inlineStr">
        <is>
          <t>G1-022</t>
        </is>
      </c>
      <c r="B27" s="24" t="inlineStr">
        <is>
          <t>Integrated Verification</t>
        </is>
      </c>
      <c r="C27" s="24" t="inlineStr">
        <is>
          <t>Reconcile SEED-001 to Gate 1 and reservation corrections.</t>
        </is>
      </c>
      <c r="D27" s="24" t="inlineStr">
        <is>
          <t>One consistent actor/date/value/identity pack.</t>
        </is>
      </c>
      <c r="E27" s="24" t="inlineStr">
        <is>
          <t>Artboards and tests use the same isolated fixtures.</t>
        </is>
      </c>
      <c r="F27" s="24" t="inlineStr">
        <is>
          <t>SEED-001 v1.3</t>
        </is>
      </c>
      <c r="G27" s="24" t="inlineStr">
        <is>
          <t>Approved requirement</t>
        </is>
      </c>
      <c r="H27" s="24" t="inlineStr">
        <is>
          <t>Yes</t>
        </is>
      </c>
      <c r="I27" s="24" t="inlineStr">
        <is>
          <t>Not started</t>
        </is>
      </c>
      <c r="J27" s="24" t="inlineStr">
        <is>
          <t>Pending</t>
        </is>
      </c>
      <c r="K27" s="24" t="str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44" customHeight="1">
      <c r="A28" s="2" t="inlineStr">
        <is>
          <t>G1-023</t>
        </is>
      </c>
      <c r="B28" s="24" t="inlineStr">
        <is>
          <t>Integrated Verification</t>
        </is>
      </c>
      <c r="C28" s="24" t="inlineStr">
        <is>
          <t>Run end-to-end public/vendor fixture.</t>
        </is>
      </c>
      <c r="D28" s="24" t="inlineStr">
        <is>
          <t>Prove requisition handoff through sealed submission without crossing into opening.</t>
        </is>
      </c>
      <c r="E28" s="24" t="inlineStr">
        <is>
          <t>Verify role-specific happy paths and failure states.</t>
        </is>
      </c>
      <c r="F28" s="24" t="inlineStr">
        <is>
          <t>G1-REG-001 v1.1 / STD-ST-001 v0.5</t>
        </is>
      </c>
      <c r="G28" s="24" t="inlineStr">
        <is>
          <t>Blocked by unresolved standard</t>
        </is>
      </c>
      <c r="H28" s="24" t="inlineStr">
        <is>
          <t>Yes</t>
        </is>
      </c>
      <c r="I28" s="24" t="inlineStr">
        <is>
          <t>Not started</t>
        </is>
      </c>
      <c r="J28" s="24" t="inlineStr">
        <is>
          <t>Not started</t>
        </is>
      </c>
      <c r="K28" s="24" t="str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44" customHeight="1">
      <c r="A29" s="2" t="inlineStr">
        <is>
          <t>G1-024</t>
        </is>
      </c>
      <c r="B29" s="24" t="inlineStr">
        <is>
          <t>Release</t>
        </is>
      </c>
      <c r="C29" s="24" t="inlineStr">
        <is>
          <t>Enable production submission only after operating-profile approval.</t>
        </is>
      </c>
      <c r="D29" s="24" t="inlineStr">
        <is>
          <t>Confirm support, incident, recovery, monitoring and authority readiness.</t>
        </is>
      </c>
      <c r="E29" s="24" t="inlineStr">
        <is>
          <t>No hidden or partial enablement.</t>
        </is>
      </c>
      <c r="F29" s="24" t="inlineStr">
        <is>
          <t>G1-REG-001 v1.1 / BDS-CHG-001 v0.8</t>
        </is>
      </c>
      <c r="G29" s="24" t="inlineStr">
        <is>
          <t>Approved requirement</t>
        </is>
      </c>
      <c r="H29" s="24" t="inlineStr">
        <is>
          <t>Yes</t>
        </is>
      </c>
      <c r="I29" s="24" t="inlineStr">
        <is>
          <t>Not started</t>
        </is>
      </c>
      <c r="J29" s="24" t="inlineStr">
        <is>
          <t>Not started</t>
        </is>
      </c>
      <c r="K29" s="24" t="str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44" customHeight="1">
      <c r="A30" s="2" t="inlineStr">
        <is>
          <t>G1-025</t>
        </is>
      </c>
      <c r="B30" s="24" t="inlineStr">
        <is>
          <t>STD Templates</t>
        </is>
      </c>
      <c r="C30" s="24" t="inlineStr">
        <is>
          <t>Implement the exact installed-release runtime authority.</t>
        </is>
      </c>
      <c r="D30" s="24" t="inlineStr">
        <is>
          <t>Immutable registry/assets, verified installation and audited deployment-only On/Off switch.</t>
        </is>
      </c>
      <c r="E30" s="24" t="inlineStr">
        <is>
          <t>Read-only state in STD Templates; no template editing or adoption approval.</t>
        </is>
      </c>
      <c r="F30" s="24" t="inlineStr">
        <is>
          <t>STD-TPL-IMP-001 v1.1</t>
        </is>
      </c>
      <c r="G30" s="24" t="inlineStr">
        <is>
          <t>Approved requirement</t>
        </is>
      </c>
      <c r="H30" s="24" t="inlineStr">
        <is>
          <t>Yes</t>
        </is>
      </c>
      <c r="I30" s="24" t="inlineStr">
        <is>
          <t>Not started</t>
        </is>
      </c>
      <c r="J30" s="24" t="inlineStr">
        <is>
          <t>Not started</t>
        </is>
      </c>
      <c r="K30" s="24" t="str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44" customHeight="1">
      <c r="A31" s="2" t="inlineStr">
        <is>
          <t>G1-026</t>
        </is>
      </c>
      <c r="B31" s="24" t="inlineStr">
        <is>
          <t>STD Templates</t>
        </is>
      </c>
      <c r="C31" s="24" t="inlineStr">
        <is>
          <t>Expose complete coverage, exclusions and generated release comparison.</t>
        </is>
      </c>
      <c r="D31" s="24" t="inlineStr">
        <is>
          <t>Paged inspection from manifest-owned projections.</t>
        </is>
      </c>
      <c r="E31" s="24" t="inlineStr">
        <is>
          <t>Coverage and changes section with plain summaries and drill-down, not raw JSON.</t>
        </is>
      </c>
      <c r="F31" s="24" t="inlineStr">
        <is>
          <t>STD-TPL-001 v0.10 / STD-TPL-IMP-001 v1.1</t>
        </is>
      </c>
      <c r="G31" s="24" t="inlineStr">
        <is>
          <t>Mixed approved/proposed</t>
        </is>
      </c>
      <c r="H31" s="24" t="inlineStr">
        <is>
          <t>Yes</t>
        </is>
      </c>
      <c r="I31" s="24" t="inlineStr">
        <is>
          <t>Not started</t>
        </is>
      </c>
      <c r="J31" s="24" t="inlineStr">
        <is>
          <t>Not started</t>
        </is>
      </c>
      <c r="K31" s="24" t="str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44" customHeight="1">
      <c r="A32" s="2" t="inlineStr">
        <is>
          <t>G1-027</t>
        </is>
      </c>
      <c r="B32" s="24" t="inlineStr">
        <is>
          <t>STD Templates</t>
        </is>
      </c>
      <c r="C32" s="24" t="inlineStr">
        <is>
          <t>Add bounded release concern capture.</t>
        </is>
      </c>
      <c r="D32" s="24" t="inlineStr">
        <is>
          <t>Create and resolve a concern without automatic content or lifecycle effect.</t>
        </is>
      </c>
      <c r="E32" s="24" t="inlineStr">
        <is>
          <t>One Report concern dialog in Verification.</t>
        </is>
      </c>
      <c r="F32" s="24" t="inlineStr">
        <is>
          <t>STD-TPL-001 v0.10 / AUTH-ADR-001 v1.10</t>
        </is>
      </c>
      <c r="G32" s="24" t="inlineStr">
        <is>
          <t>Mixed approved/proposed</t>
        </is>
      </c>
      <c r="H32" s="24" t="inlineStr">
        <is>
          <t>No</t>
        </is>
      </c>
      <c r="I32" s="24" t="inlineStr">
        <is>
          <t>Not started</t>
        </is>
      </c>
      <c r="J32" s="24" t="inlineStr">
        <is>
          <t>Not started</t>
        </is>
      </c>
      <c r="K32" s="24" t="str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44" customHeight="1">
      <c r="A33" s="2" t="inlineStr">
        <is>
          <t>G1-028</t>
        </is>
      </c>
      <c r="B33" s="24" t="inlineStr">
        <is>
          <t>Template runtime</t>
        </is>
      </c>
      <c r="C33" s="24" t="inlineStr">
        <is>
          <t>Use one compiler and registered renderer adapters.</t>
        </is>
      </c>
      <c r="D33" s="24" t="inlineStr">
        <is>
          <t>Canonical parity for fixture/production; exact adapter/version compatibility.</t>
        </is>
      </c>
      <c r="E33" s="24" t="inlineStr">
        <is>
          <t>Technical identities remain collapsed; routine failure copy is direct.</t>
        </is>
      </c>
      <c r="F33" s="24" t="inlineStr">
        <is>
          <t>STD-TPL-001 v0.10 / STD-TPL-IMP-001 v1.1</t>
        </is>
      </c>
      <c r="G33" s="24" t="inlineStr">
        <is>
          <t>Mixed approved/proposed</t>
        </is>
      </c>
      <c r="H33" s="24" t="inlineStr">
        <is>
          <t>Yes</t>
        </is>
      </c>
      <c r="I33" s="24" t="inlineStr">
        <is>
          <t>Not started</t>
        </is>
      </c>
      <c r="J33" s="24" t="inlineStr">
        <is>
          <t>Not started</t>
        </is>
      </c>
      <c r="K33" s="24" t="str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44" customHeight="1">
      <c r="A34" s="2" t="inlineStr">
        <is>
          <t>G1-029</t>
        </is>
      </c>
      <c r="B34" s="24" t="inlineStr">
        <is>
          <t>Tenders</t>
        </is>
      </c>
      <c r="C34" s="24" t="inlineStr">
        <is>
          <t>Enforce Superseded release continuation without rebinding.</t>
        </is>
      </c>
      <c r="D34" s="24" t="inlineStr">
        <is>
          <t>Only already-bound unpublished Tenders with passing integrity/adapters continue.</t>
        </is>
      </c>
      <c r="E34" s="24" t="inlineStr">
        <is>
          <t>Show successor notice and preserved exact release.</t>
        </is>
      </c>
      <c r="F34" s="24" t="inlineStr">
        <is>
          <t>TPR-CHG-001 v0.13 / STD-TPL-001 v0.10</t>
        </is>
      </c>
      <c r="G34" s="24" t="inlineStr">
        <is>
          <t>Approved requirement</t>
        </is>
      </c>
      <c r="H34" s="24" t="inlineStr">
        <is>
          <t>Yes</t>
        </is>
      </c>
      <c r="I34" s="24" t="inlineStr">
        <is>
          <t>Not started</t>
        </is>
      </c>
      <c r="J34" s="24" t="inlineStr">
        <is>
          <t>Not started</t>
        </is>
      </c>
      <c r="K34" s="24" t="str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44" customHeight="1">
      <c r="A35" s="2" t="inlineStr">
        <is>
          <t>G1-030</t>
        </is>
      </c>
      <c r="B35" s="24" t="inlineStr">
        <is>
          <t>Tenders</t>
        </is>
      </c>
      <c r="C35" s="24" t="inlineStr">
        <is>
          <t>Block unpublished continuation on Withdrawn release.</t>
        </is>
      </c>
      <c r="D35" s="24" t="inlineStr">
        <is>
          <t>Block submit/approve/publish/addendum/Bid start; preserve published history.</t>
        </is>
      </c>
      <c r="E35" s="24" t="inlineStr">
        <is>
          <t>Direct reason, release link and governed next step.</t>
        </is>
      </c>
      <c r="F35" s="24" t="inlineStr">
        <is>
          <t>TPR-CHG-001 v0.13 / STD-TPL-001 v0.10</t>
        </is>
      </c>
      <c r="G35" s="24" t="inlineStr">
        <is>
          <t>Approved requirement</t>
        </is>
      </c>
      <c r="H35" s="24" t="inlineStr">
        <is>
          <t>Yes</t>
        </is>
      </c>
      <c r="I35" s="24" t="inlineStr">
        <is>
          <t>Not started</t>
        </is>
      </c>
      <c r="J35" s="24" t="inlineStr">
        <is>
          <t>Not started</t>
        </is>
      </c>
      <c r="K35" s="24" t="str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44" customHeight="1">
      <c r="A36" s="2" t="inlineStr">
        <is>
          <t>RES-001</t>
        </is>
      </c>
      <c r="B36" s="24" t="inlineStr">
        <is>
          <t>Procurement Planning</t>
        </is>
      </c>
      <c r="C36" s="24" t="inlineStr">
        <is>
          <t>Compute reservation target from eligible current complete APP value.</t>
        </is>
      </c>
      <c r="D36" s="24" t="inlineStr">
        <is>
          <t>Version denominator and included/excluded item evidence.</t>
        </is>
      </c>
      <c r="E36" s="24" t="inlineStr">
        <is>
          <t>Show target, planned qualifying value and gap in plain language.</t>
        </is>
      </c>
      <c r="F36" s="24" t="inlineStr">
        <is>
          <t>PLN-CHG-001 v1.27 / LAW-REG-001 v1.2</t>
        </is>
      </c>
      <c r="G36" s="24" t="inlineStr">
        <is>
          <t>Approved requirement</t>
        </is>
      </c>
      <c r="H36" s="24" t="inlineStr">
        <is>
          <t>Yes</t>
        </is>
      </c>
      <c r="I36" s="24" t="inlineStr">
        <is>
          <t>Not started</t>
        </is>
      </c>
      <c r="J36" s="24" t="inlineStr">
        <is>
          <t>Not started</t>
        </is>
      </c>
      <c r="K36" s="24" t="str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44" customHeight="1">
      <c r="A37" s="2" t="inlineStr">
        <is>
          <t>RES-002</t>
        </is>
      </c>
      <c r="B37" s="24" t="inlineStr">
        <is>
          <t>Budget and Funding</t>
        </is>
      </c>
      <c r="C37" s="24" t="inlineStr">
        <is>
          <t>Remove any annual reservation-denominator control or API.</t>
        </is>
      </c>
      <c r="D37" s="24" t="inlineStr">
        <is>
          <t>Retain ceilings and affordability only.</t>
        </is>
      </c>
      <c r="E37" s="24" t="inlineStr">
        <is>
          <t>No user-entered 30% base in Budget.</t>
        </is>
      </c>
      <c r="F37" s="24" t="inlineStr">
        <is>
          <t>BUD-CHG-001 v1.11</t>
        </is>
      </c>
      <c r="G37" s="24" t="inlineStr">
        <is>
          <t>Approved requirement</t>
        </is>
      </c>
      <c r="H37" s="24" t="inlineStr">
        <is>
          <t>No</t>
        </is>
      </c>
      <c r="I37" s="24" t="inlineStr">
        <is>
          <t>Not started</t>
        </is>
      </c>
      <c r="J37" s="24" t="inlineStr">
        <is>
          <t>Not started</t>
        </is>
      </c>
      <c r="K37" s="24" t="str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44" customHeight="1">
      <c r="A38" s="2" t="inlineStr">
        <is>
          <t>RES-003</t>
        </is>
      </c>
      <c r="B38" s="24" t="inlineStr">
        <is>
          <t>Planning and Setup</t>
        </is>
      </c>
      <c r="C38" s="24" t="inlineStr">
        <is>
          <t>Separate national reservation designation from county-resident treatment.</t>
        </is>
      </c>
      <c r="D38" s="24" t="inlineStr">
        <is>
          <t>Independent rules, flags, outcomes and reports.</t>
        </is>
      </c>
      <c r="E38" s="24" t="inlineStr">
        <is>
          <t>Distinct labels and explanations.</t>
        </is>
      </c>
      <c r="F38" s="24" t="inlineStr">
        <is>
          <t>PLN-CHG-001 v1.27 / CFG-CHG-002 v0.16</t>
        </is>
      </c>
      <c r="G38" s="24" t="inlineStr">
        <is>
          <t>Mixed approved/proposed</t>
        </is>
      </c>
      <c r="H38" s="24" t="inlineStr">
        <is>
          <t>Yes</t>
        </is>
      </c>
      <c r="I38" s="24" t="inlineStr">
        <is>
          <t>Not started</t>
        </is>
      </c>
      <c r="J38" s="24" t="inlineStr">
        <is>
          <t>Not started</t>
        </is>
      </c>
      <c r="K38" s="24" t="str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44" customHeight="1">
      <c r="A39" s="2" t="inlineStr">
        <is>
          <t>RES-004</t>
        </is>
      </c>
      <c r="B39" s="24" t="inlineStr">
        <is>
          <t>Requisition to Bid</t>
        </is>
      </c>
      <c r="C39" s="24" t="inlineStr">
        <is>
          <t>Carry exact reservation treatment downstream without recomputation.</t>
        </is>
      </c>
      <c r="D39" s="24" t="inlineStr">
        <is>
          <t>Preserve designation, basis, lots and applicable evidence.</t>
        </is>
      </c>
      <c r="E39" s="24" t="inlineStr">
        <is>
          <t>Show concise confirmed treatment with correction route.</t>
        </is>
      </c>
      <c r="F39" s="24" t="inlineStr">
        <is>
          <t>REQ-CHG-001 v1.12 / TPR-CHG-001 v0.13 / BDS-CHG-001 v0.8</t>
        </is>
      </c>
      <c r="G39" s="24" t="inlineStr">
        <is>
          <t>Approved requirement</t>
        </is>
      </c>
      <c r="H39" s="24" t="inlineStr">
        <is>
          <t>Yes</t>
        </is>
      </c>
      <c r="I39" s="24" t="inlineStr">
        <is>
          <t>Not started</t>
        </is>
      </c>
      <c r="J39" s="24" t="inlineStr">
        <is>
          <t>Not started</t>
        </is>
      </c>
      <c r="K39" s="24" t="str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44" customHeight="1">
      <c r="A40" s="2" t="inlineStr">
        <is>
          <t>RES-005</t>
        </is>
      </c>
      <c r="B40" s="24" t="inlineStr">
        <is>
          <t>Fixtures</t>
        </is>
      </c>
      <c r="C40" s="24" t="inlineStr">
        <is>
          <t>Update fixtures and arithmetic to the corrected denominator.</t>
        </is>
      </c>
      <c r="D40" s="24" t="inlineStr">
        <is>
          <t>One mathematically consistent APP, requisition, tender and bid chain.</t>
        </is>
      </c>
      <c r="E40" s="24" t="inlineStr">
        <is>
          <t>No contradictory reservation states across artboards.</t>
        </is>
      </c>
      <c r="F40" s="24" t="inlineStr">
        <is>
          <t>SEED-001 v1.3 / RES-IMP-001 v1.0</t>
        </is>
      </c>
      <c r="G40" s="24" t="inlineStr">
        <is>
          <t>Needs reconciliation</t>
        </is>
      </c>
      <c r="H40" s="24" t="inlineStr">
        <is>
          <t>Yes</t>
        </is>
      </c>
      <c r="I40" s="24" t="inlineStr">
        <is>
          <t>Not started</t>
        </is>
      </c>
      <c r="J40" s="24" t="inlineStr">
        <is>
          <t>Pending</t>
        </is>
      </c>
      <c r="K40" s="24" t="str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44" customHeight="1">
      <c r="A41" s="2" t="inlineStr">
        <is>
          <t>RES-006</t>
        </is>
      </c>
      <c r="B41" s="24" t="inlineStr">
        <is>
          <t>Implementation Correction</t>
        </is>
      </c>
      <c r="C41" s="24" t="inlineStr">
        <is>
          <t>Remove obsolete reservation fields, services, labels and tests.</t>
        </is>
      </c>
      <c r="D41" s="24" t="inlineStr">
        <is>
          <t>Migrate or retire old inputs safely.</t>
        </is>
      </c>
      <c r="E41" s="24" t="inlineStr">
        <is>
          <t>Simplify affected screens and supporting detail.</t>
        </is>
      </c>
      <c r="F41" s="24" t="inlineStr">
        <is>
          <t>RES-IMP-001 v1.0</t>
        </is>
      </c>
      <c r="G41" s="24" t="inlineStr">
        <is>
          <t>Project Owner review</t>
        </is>
      </c>
      <c r="H41" s="24" t="inlineStr">
        <is>
          <t>Yes</t>
        </is>
      </c>
      <c r="I41" s="24" t="inlineStr">
        <is>
          <t>Not started</t>
        </is>
      </c>
      <c r="J41" s="24" t="inlineStr">
        <is>
          <t>Not started</t>
        </is>
      </c>
      <c r="K41" s="24" t="str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44" customHeight="1">
      <c r="A42" s="2" t="inlineStr">
        <is>
          <t>WF-001</t>
        </is>
      </c>
      <c r="B42" s="24" t="inlineStr">
        <is>
          <t>Shared workflow</t>
        </is>
      </c>
      <c r="C42" s="24" t="inlineStr">
        <is>
          <t>Implement the server-produced next-step response and explicit guard reasons.</t>
        </is>
      </c>
      <c r="D42" s="24" t="inlineStr">
        <is>
          <t>Return exactly one actionable, waiting, blocked-with-remedy or completed outcome for each supported persona and record state.</t>
        </is>
      </c>
      <c r="E42" s="24" t="inlineStr">
        <is>
          <t>Use one concise next-step block with owner, explanation and direct action where authorised.</t>
        </is>
      </c>
      <c r="F42" s="24" t="inlineStr">
        <is>
          <t>KT-STD-001 v1.9 / current module document</t>
        </is>
      </c>
      <c r="G42" s="24" t="inlineStr">
        <is>
          <t>Approved requirement</t>
        </is>
      </c>
      <c r="H42" s="24" t="inlineStr">
        <is>
          <t>Yes</t>
        </is>
      </c>
      <c r="I42" s="24" t="inlineStr">
        <is>
          <t>Not started</t>
        </is>
      </c>
      <c r="J42" s="24" t="inlineStr">
        <is>
          <t>Not started</t>
        </is>
      </c>
      <c r="K42" s="24" t="str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44" customHeight="1">
      <c r="A43" s="2" t="inlineStr">
        <is>
          <t>WF-002</t>
        </is>
      </c>
      <c r="B43" s="24" t="inlineStr">
        <is>
          <t>Integrated Verification</t>
        </is>
      </c>
      <c r="C43" s="24" t="inlineStr">
        <is>
          <t>Automate the no-dead-end conformance test.</t>
        </is>
      </c>
      <c r="D43" s="24" t="inlineStr">
        <is>
          <t>Enumerate supported persona/state pairs and fail any state lacking a valid next-step outcome.</t>
        </is>
      </c>
      <c r="E43" s="24" t="inlineStr">
        <is>
          <t>Verify that copy identifies the next actor and correction route without internal jargon.</t>
        </is>
      </c>
      <c r="F43" s="24" t="inlineStr">
        <is>
          <t>KT-STD-001 v1.9</t>
        </is>
      </c>
      <c r="G43" s="24" t="inlineStr">
        <is>
          <t>Approved requirement</t>
        </is>
      </c>
      <c r="H43" s="24" t="inlineStr">
        <is>
          <t>Yes</t>
        </is>
      </c>
      <c r="I43" s="24" t="inlineStr">
        <is>
          <t>Not started</t>
        </is>
      </c>
      <c r="J43" s="24" t="inlineStr">
        <is>
          <t>Not started</t>
        </is>
      </c>
      <c r="K43" s="24" t="str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44" customHeight="1">
      <c r="A44" s="2" t="inlineStr">
        <is>
          <t>WF-003</t>
        </is>
      </c>
      <c r="B44" s="24" t="inlineStr">
        <is>
          <t>My Work and hand-offs</t>
        </is>
      </c>
      <c r="C44" s="24" t="inlineStr">
        <is>
          <t>Create the complete hand-off register and consume it in My Work, waiting views and notifications.</t>
        </is>
      </c>
      <c r="D44" s="24" t="inlineStr">
        <is>
          <t>Cover every cross-role and cross-module hand-off with stable identity, ownership and lifecycle.</t>
        </is>
      </c>
      <c r="E44" s="24" t="inlineStr">
        <is>
          <t>Show work requiring action separately from items waiting on another responsibility.</t>
        </is>
      </c>
      <c r="F44" s="24" t="inlineStr">
        <is>
          <t>KT-STD-001 v1.9 / PLN-CHG-001 v1.27 / BUD-CHG-001 v1.11 / REQ-CHG-001 v1.12</t>
        </is>
      </c>
      <c r="G44" s="24" t="inlineStr">
        <is>
          <t>Approved requirement</t>
        </is>
      </c>
      <c r="H44" s="24" t="inlineStr">
        <is>
          <t>Yes</t>
        </is>
      </c>
      <c r="I44" s="24" t="inlineStr">
        <is>
          <t>Not started</t>
        </is>
      </c>
      <c r="J44" s="24" t="inlineStr">
        <is>
          <t>Not started</t>
        </is>
      </c>
      <c r="K44" s="24" t="str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44" customHeight="1">
      <c r="A45" s="2" t="inlineStr">
        <is>
          <t>WF-004</t>
        </is>
      </c>
      <c r="B45" s="24" t="inlineStr">
        <is>
          <t>Journey orientation</t>
        </is>
      </c>
      <c r="C45" s="24" t="inlineStr">
        <is>
          <t>Add the restrained journey tracker and useful Home orientation.</t>
        </is>
      </c>
      <c r="D45" s="24" t="inlineStr">
        <is>
          <t>Derive stage and next-step context from authoritative workflow and hand-off state.</t>
        </is>
      </c>
      <c r="E45" s="24" t="inlineStr">
        <is>
          <t>Orient users without duplicating status, exposing internal machinery or overwhelming the primary task.</t>
        </is>
      </c>
      <c r="F45" s="24" t="inlineStr">
        <is>
          <t>KT-STD-001 v1.9 / current module document</t>
        </is>
      </c>
      <c r="G45" s="24" t="inlineStr">
        <is>
          <t>Approved requirement</t>
        </is>
      </c>
      <c r="H45" s="24" t="inlineStr">
        <is>
          <t>No</t>
        </is>
      </c>
      <c r="I45" s="24" t="inlineStr">
        <is>
          <t>Not started</t>
        </is>
      </c>
      <c r="J45" s="24" t="inlineStr">
        <is>
          <t>Not started</t>
        </is>
      </c>
      <c r="K45" s="24" t="str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44" customHeight="1">
      <c r="A46" s="2" t="inlineStr">
        <is>
          <t>PLN-027-001</t>
        </is>
      </c>
      <c r="B46" s="24" t="inlineStr">
        <is>
          <t>Procurement Planning</t>
        </is>
      </c>
      <c r="C46" s="24" t="inlineStr">
        <is>
          <t>Implement the corrected blocker matrix and funding-confirmation route.</t>
        </is>
      </c>
      <c r="D46" s="24" t="inlineStr">
        <is>
          <t>Over-budget and missing-method conditions block Request plan funding confirmation; reservation shortfall blocks only Sign and submit Annual Plan.</t>
        </is>
      </c>
      <c r="E46" s="24" t="inlineStr">
        <is>
          <t>Name the affected action, reason, responsible role and direct correction route.</t>
        </is>
      </c>
      <c r="F46" s="24" t="inlineStr">
        <is>
          <t>PLN-CHG-001 v1.27</t>
        </is>
      </c>
      <c r="G46" s="24" t="inlineStr">
        <is>
          <t>Approved requirement</t>
        </is>
      </c>
      <c r="H46" s="24" t="inlineStr">
        <is>
          <t>Yes</t>
        </is>
      </c>
      <c r="I46" s="24" t="inlineStr">
        <is>
          <t>Not started</t>
        </is>
      </c>
      <c r="J46" s="24" t="inlineStr">
        <is>
          <t>Not started</t>
        </is>
      </c>
      <c r="K46" s="24" t="str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44" customHeight="1">
      <c r="A47" s="2" t="inlineStr">
        <is>
          <t>PLN-027-002</t>
        </is>
      </c>
      <c r="B47" s="24" t="inlineStr">
        <is>
          <t>Planning to Budget</t>
        </is>
      </c>
      <c r="C47" s="24" t="inlineStr">
        <is>
          <t>Implement the Planning budget revision request aggregate and hand-off.</t>
        </is>
      </c>
      <c r="D47" s="24" t="inlineStr">
        <is>
          <t>Create, send and track the immutable request without changing amounts, reservations or approvals.</t>
        </is>
      </c>
      <c r="E47" s="24" t="inlineStr">
        <is>
          <t>Show requested outcome, reason, Budget owner and returned outcome in plain language.</t>
        </is>
      </c>
      <c r="F47" s="24" t="inlineStr">
        <is>
          <t>PLN-CHG-001 v1.27 / BUD-CHG-001 v1.11</t>
        </is>
      </c>
      <c r="G47" s="24" t="inlineStr">
        <is>
          <t>Approved requirement</t>
        </is>
      </c>
      <c r="H47" s="24" t="inlineStr">
        <is>
          <t>Yes</t>
        </is>
      </c>
      <c r="I47" s="24" t="inlineStr">
        <is>
          <t>Not started</t>
        </is>
      </c>
      <c r="J47" s="24" t="inlineStr">
        <is>
          <t>Not started</t>
        </is>
      </c>
      <c r="K47" s="24" t="str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44" customHeight="1">
      <c r="A48" s="2" t="inlineStr">
        <is>
          <t>BUD-011-001</t>
        </is>
      </c>
      <c r="B48" s="24" t="inlineStr">
        <is>
          <t>Budget and Funding</t>
        </is>
      </c>
      <c r="C48" s="24" t="inlineStr">
        <is>
          <t>Implement the Budget-owned receiving side of Planning budget revision requests.</t>
        </is>
      </c>
      <c r="D48" s="24" t="inlineStr">
        <is>
          <t>Receive, decline, withdraw, register successor allocation evidence and return the outcome to Planning.</t>
        </is>
      </c>
      <c r="E48" s="24" t="inlineStr">
        <is>
          <t>Keep the request distinct from the budget revision itself and clearly identify the next responsible user.</t>
        </is>
      </c>
      <c r="F48" s="24" t="inlineStr">
        <is>
          <t>BUD-CHG-001 v1.11 / PLN-CHG-001 v1.27</t>
        </is>
      </c>
      <c r="G48" s="24" t="inlineStr">
        <is>
          <t>Approved requirement</t>
        </is>
      </c>
      <c r="H48" s="24" t="inlineStr">
        <is>
          <t>Yes</t>
        </is>
      </c>
      <c r="I48" s="24" t="inlineStr">
        <is>
          <t>Not started</t>
        </is>
      </c>
      <c r="J48" s="24" t="inlineStr">
        <is>
          <t>Not started</t>
        </is>
      </c>
      <c r="K48" s="24" t="str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44" customHeight="1">
      <c r="A49" s="2" t="inlineStr">
        <is>
          <t>REQ-012-001</t>
        </is>
      </c>
      <c r="B49" s="24" t="inlineStr">
        <is>
          <t>Procurement Requisitions</t>
        </is>
      </c>
      <c r="C49" s="24" t="inlineStr">
        <is>
          <t>Create the REQ-owned Purchase ready for requisition item when a plan is activated.</t>
        </is>
      </c>
      <c r="D49" s="24" t="inlineStr">
        <is>
          <t>Use the existing requisition aggregate and Ready to start lifecycle with no new role, state, command or approval stage.</t>
        </is>
      </c>
      <c r="E49" s="24" t="inlineStr">
        <is>
          <t>Show the item in the existing workspace and start the requisition directly.</t>
        </is>
      </c>
      <c r="F49" s="24" t="inlineStr">
        <is>
          <t>REQ-CHG-001 v1.12 / PLN-CHG-001 v1.27</t>
        </is>
      </c>
      <c r="G49" s="24" t="inlineStr">
        <is>
          <t>Approved requirement</t>
        </is>
      </c>
      <c r="H49" s="24" t="inlineStr">
        <is>
          <t>Yes</t>
        </is>
      </c>
      <c r="I49" s="24" t="inlineStr">
        <is>
          <t>Not started</t>
        </is>
      </c>
      <c r="J49" s="24" t="inlineStr">
        <is>
          <t>Not started</t>
        </is>
      </c>
      <c r="K49" s="24" t="str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inlineStr">
        <is>
          <t>TRUST-001</t>
        </is>
      </c>
      <c r="B50" s="2" t="inlineStr">
        <is>
          <t>Shared Trust Infrastructure</t>
        </is>
      </c>
      <c r="C50" s="2" t="inlineStr">
        <is>
          <t>Build synthetic signing/custody test adapters and later a separately approved production support module.</t>
        </is>
      </c>
      <c r="D50" s="2" t="inlineStr">
        <is>
          <t>Preserve exact-target member evidence, sealed receipts and BOP ordered reveal API; then integrate licensed provider, external keys, independent multi-person release and recovery.</t>
        </is>
      </c>
      <c r="E50" s="2" t="inlineStr">
        <is>
          <t>Keep ordinary approvals and statutory signatures distinct; label test attestations/receipts and hide production submission/opening actions.</t>
        </is>
      </c>
      <c r="F50" s="2" t="inlineStr">
        <is>
          <t>TRUST-ADR-001 v0.1 / BDS-CHG-001 v0.8 / BOP-CHG-001 v0.1 / PRC-CHG-001 v0.2</t>
        </is>
      </c>
      <c r="G50" s="2" t="inlineStr">
        <is>
          <t>Approved requirement</t>
        </is>
      </c>
      <c r="H50" s="2" t="inlineStr">
        <is>
          <t>Yes</t>
        </is>
      </c>
      <c r="I50" s="2" t="inlineStr">
        <is>
          <t>Not started</t>
        </is>
      </c>
      <c r="J50" s="2" t="inlineStr">
        <is>
          <t>Not started</t>
        </is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inlineStr">
        <is>
          <t>G1-031</t>
        </is>
      </c>
      <c r="B51" s="2" t="inlineStr">
        <is>
          <t>Tenders / Bid Submission</t>
        </is>
      </c>
      <c r="C51" s="2" t="inlineStr">
        <is>
          <t>Apply approved published-Tender bound-release behavior after Supersession or Withdrawal.</t>
        </is>
      </c>
      <c r="D51" s="2" t="inlineStr">
        <is>
          <t>Allow already-bound published Tenders on a Superseded release to issue lawful addenda and accept Bid start/submission while exact checks pass; on Withdrawn block new start/addendum/submission/replacement but preserve reads, existing receipts and lawful pre-deadline withdrawal.</t>
        </is>
      </c>
      <c r="E51" s="2" t="inlineStr">
        <is>
          <t>Show truthful lifecycle notices and allowed next actions to internal and supplier users.</t>
        </is>
      </c>
      <c r="F51" s="2" t="inlineStr">
        <is>
          <t>TPR-CHG-001 v0.13 / BDS-CHG-001 v0.8</t>
        </is>
      </c>
      <c r="G51" s="2" t="inlineStr">
        <is>
          <t>Approved requirement</t>
        </is>
      </c>
      <c r="H51" s="2" t="inlineStr">
        <is>
          <t>Yes</t>
        </is>
      </c>
      <c r="I51" s="2" t="inlineStr">
        <is>
          <t>Not started</t>
        </is>
      </c>
      <c r="J51" s="2" t="inlineStr">
        <is>
          <t>Not started</t>
        </is>
      </c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25" customHeight="1">
      <c r="A52" s="24" t="inlineStr">
        <is>
          <t>AWD-001</t>
        </is>
      </c>
      <c r="B52" s="24" t="inlineStr">
        <is>
          <t>Award</t>
        </is>
      </c>
      <c r="C52" s="24" t="inlineStr">
        <is>
          <t>Implement the proposed MVP 1 Award workflow after requirements approval.</t>
        </is>
      </c>
      <c r="D52" s="24" t="inlineStr">
        <is>
          <t>Exact Evaluation receipt; signed HOP opinion; AO decision and notices; supplier response; legal waits/restrictions; durable Contracting receipt.</t>
        </is>
      </c>
      <c r="E52" s="24" t="inlineStr">
        <is>
          <t>Plain task-led record and supplier notice; no repeated evaluation or extra notice/delivery approval.</t>
        </is>
      </c>
      <c r="F52" s="24" t="inlineStr">
        <is>
          <t>AWD-CHG-001 v0.4</t>
        </is>
      </c>
      <c r="G52" s="24" t="inlineStr">
        <is>
          <t>Project Owner review</t>
        </is>
      </c>
      <c r="H52" s="24" t="inlineStr">
        <is>
          <t>Yes</t>
        </is>
      </c>
      <c r="I52" s="24" t="inlineStr">
        <is>
          <t>Not started</t>
        </is>
      </c>
      <c r="J52" s="24" t="inlineStr">
        <is>
          <t>Not started</t>
        </is>
      </c>
      <c r="K52" s="24" t="inlineStr">
        <is>
          <t>AWD-AC-001–031 are required tests, not executed evidence.</t>
        </is>
      </c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2">
    <mergeCell ref="A2:K2"/>
    <mergeCell ref="A1:K1"/>
  </mergeCells>
  <conditionalFormatting sqref="G6:G49">
    <cfRule type="containsText" priority="1" operator="containsText" dxfId="2" text="Approved"/>
    <cfRule type="containsText" priority="2" operator="containsText" dxfId="2" text="Passed"/>
    <cfRule type="containsText" priority="3" operator="containsText" dxfId="2" text="Released"/>
    <cfRule type="containsText" priority="4" operator="containsText" dxfId="1" text="Project Owner review"/>
    <cfRule type="containsText" priority="5" operator="containsText" dxfId="6" text="Pending"/>
    <cfRule type="containsText" priority="6" operator="containsText" dxfId="0" text="Blocked"/>
    <cfRule type="containsText" priority="7" operator="containsText" dxfId="0" text="unresolved"/>
    <cfRule type="containsText" priority="8" operator="containsText" dxfId="9" text="Not started"/>
    <cfRule type="containsText" priority="9" operator="containsText" dxfId="9" text="Not evidenced"/>
  </conditionalFormatting>
  <conditionalFormatting sqref="I6:I49">
    <cfRule type="containsText" priority="10" operator="containsText" dxfId="2" text="Approved"/>
    <cfRule type="containsText" priority="11" operator="containsText" dxfId="2" text="Passed"/>
    <cfRule type="containsText" priority="12" operator="containsText" dxfId="2" text="Released"/>
    <cfRule type="containsText" priority="13" operator="containsText" dxfId="1" text="Project Owner review"/>
    <cfRule type="containsText" priority="14" operator="containsText" dxfId="6" text="Pending"/>
    <cfRule type="containsText" priority="15" operator="containsText" dxfId="0" text="Blocked"/>
    <cfRule type="containsText" priority="16" operator="containsText" dxfId="0" text="unresolved"/>
    <cfRule type="containsText" priority="17" operator="containsText" dxfId="9" text="Not started"/>
    <cfRule type="containsText" priority="18" operator="containsText" dxfId="9" text="Not evidenced"/>
  </conditionalFormatting>
  <conditionalFormatting sqref="J6:J49">
    <cfRule type="containsText" priority="19" operator="containsText" dxfId="2" text="Approved"/>
    <cfRule type="containsText" priority="20" operator="containsText" dxfId="2" text="Passed"/>
    <cfRule type="containsText" priority="21" operator="containsText" dxfId="2" text="Released"/>
    <cfRule type="containsText" priority="22" operator="containsText" dxfId="1" text="Project Owner review"/>
    <cfRule type="containsText" priority="23" operator="containsText" dxfId="6" text="Pending"/>
    <cfRule type="containsText" priority="24" operator="containsText" dxfId="0" text="Blocked"/>
    <cfRule type="containsText" priority="25" operator="containsText" dxfId="0" text="unresolved"/>
    <cfRule type="containsText" priority="26" operator="containsText" dxfId="9" text="Not started"/>
    <cfRule type="containsText" priority="27" operator="containsText" dxfId="9" text="Not evidenced"/>
  </conditionalFormatting>
  <dataValidations count="2">
    <dataValidation sqref="I6:I49" showDropDown="0" showInputMessage="0" showErrorMessage="0" allowBlank="0" type="list">
      <formula1>"Not started,Planned,In progress,Implemented,Not evidenced,Not applicable"</formula1>
    </dataValidation>
    <dataValidation sqref="J6:J49" showDropDown="0" showInputMessage="0" showErrorMessage="0" allowBlank="0" type="list">
      <formula1>"Not started,Not evidenced,Pending,Passed,Failed,Not applicable"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Z20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3" customWidth="1" min="1" max="1"/>
    <col width="31" customWidth="1" min="2" max="2"/>
    <col width="18" customWidth="1" min="3" max="3"/>
    <col width="38" customWidth="1" min="4" max="4"/>
    <col width="14" customWidth="1" min="5" max="5"/>
    <col width="48" customWidth="1" min="6" max="6"/>
    <col width="44" customWidth="1" min="7" max="7"/>
  </cols>
  <sheetData>
    <row r="1" ht="38" customHeight="1">
      <c r="A1" s="5" t="inlineStr">
        <is>
          <t>Future work</t>
        </is>
      </c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Deferred capability remains visible here with an explicit boundary and trigger. This prevents future scope from being mistaken for a current feature or forgotten entirely.</t>
        </is>
      </c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6" customHeight="1">
      <c r="A5" s="35" t="inlineStr">
        <is>
          <t>Future ID</t>
        </is>
      </c>
      <c r="B5" s="35" t="inlineStr">
        <is>
          <t>Capability</t>
        </is>
      </c>
      <c r="C5" s="35" t="inlineStr">
        <is>
          <t>Planned wave</t>
        </is>
      </c>
      <c r="D5" s="35" t="inlineStr">
        <is>
          <t>Dependency</t>
        </is>
      </c>
      <c r="E5" s="35" t="inlineStr">
        <is>
          <t>Status</t>
        </is>
      </c>
      <c r="F5" s="35" t="inlineStr">
        <is>
          <t>Current boundary</t>
        </is>
      </c>
      <c r="G5" s="35" t="inlineStr">
        <is>
          <t>Trigger to start</t>
        </is>
      </c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44" customHeight="1">
      <c r="A6" s="2" t="inlineStr">
        <is>
          <t>FW-001</t>
        </is>
      </c>
      <c r="B6" s="24" t="inlineStr">
        <is>
          <t>Bid Opening</t>
        </is>
      </c>
      <c r="C6" s="24" t="inlineStr">
        <is>
          <t>Post Gate 1</t>
        </is>
      </c>
      <c r="D6" s="24" t="inlineStr">
        <is>
          <t>Sealed Bid Submission handoff</t>
        </is>
      </c>
      <c r="E6" s="24" t="inlineStr">
        <is>
          <t>Planned</t>
        </is>
      </c>
      <c r="F6" s="24" t="inlineStr">
        <is>
          <t>Not part of BDS v0.7</t>
        </is>
      </c>
      <c r="G6" s="24" t="inlineStr">
        <is>
          <t>Approve a separate Bid Opening requirements change unit.</t>
        </is>
      </c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44" customHeight="1">
      <c r="A7" s="2" t="inlineStr">
        <is>
          <t>FW-002</t>
        </is>
      </c>
      <c r="B7" s="24" t="inlineStr">
        <is>
          <t>Evaluation and Award</t>
        </is>
      </c>
      <c r="C7" s="24" t="inlineStr">
        <is>
          <t>Post Gate 1</t>
        </is>
      </c>
      <c r="D7" s="24" t="inlineStr">
        <is>
          <t>Bid Opening; STD evaluation mappings</t>
        </is>
      </c>
      <c r="E7" s="24" t="inlineStr">
        <is>
          <t>Planned</t>
        </is>
      </c>
      <c r="F7" s="24" t="inlineStr">
        <is>
          <t>No evaluation workflow in current Gate 1</t>
        </is>
      </c>
      <c r="G7" s="24" t="inlineStr">
        <is>
          <t>Complete Bid Opening and approve evaluation governance.</t>
        </is>
      </c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4" customHeight="1">
      <c r="A8" s="2" t="inlineStr">
        <is>
          <t>FW-003</t>
        </is>
      </c>
      <c r="B8" s="24" t="inlineStr">
        <is>
          <t>Supplier Management and prequalification</t>
        </is>
      </c>
      <c r="C8" s="24" t="inlineStr">
        <is>
          <t>Future programme</t>
        </is>
      </c>
      <c r="D8" s="24" t="inlineStr">
        <is>
          <t>Supplier organisation identity</t>
        </is>
      </c>
      <c r="E8" s="24" t="inlineStr">
        <is>
          <t>Planned</t>
        </is>
      </c>
      <c r="F8" s="24" t="inlineStr">
        <is>
          <t>Current supplier access is tender participation only</t>
        </is>
      </c>
      <c r="G8" s="24" t="inlineStr">
        <is>
          <t>Approve supplier lifecycle and data ownership.</t>
        </is>
      </c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4" customHeight="1">
      <c r="A9" s="2" t="inlineStr">
        <is>
          <t>FW-004</t>
        </is>
      </c>
      <c r="B9" s="24" t="inlineStr">
        <is>
          <t>RFQ, Restricted and Direct methods</t>
        </is>
      </c>
      <c r="C9" s="24" t="inlineStr">
        <is>
          <t>Future programme</t>
        </is>
      </c>
      <c r="D9" s="24" t="inlineStr">
        <is>
          <t>Additional method rules and templates</t>
        </is>
      </c>
      <c r="E9" s="24" t="inlineStr">
        <is>
          <t>Planned</t>
        </is>
      </c>
      <c r="F9" s="24" t="inlineStr">
        <is>
          <t>Current controlled template is Open Tender</t>
        </is>
      </c>
      <c r="G9" s="24" t="inlineStr">
        <is>
          <t>Curate and approve each method/product release.</t>
        </is>
      </c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4" customHeight="1">
      <c r="A10" s="2" t="inlineStr">
        <is>
          <t>FW-005</t>
        </is>
      </c>
      <c r="B10" s="24" t="inlineStr">
        <is>
          <t>RFP and proposal-based procurement</t>
        </is>
      </c>
      <c r="C10" s="24" t="inlineStr">
        <is>
          <t>Future programme</t>
        </is>
      </c>
      <c r="D10" s="24" t="inlineStr">
        <is>
          <t>Proposal evaluation and negotiation rules</t>
        </is>
      </c>
      <c r="E10" s="24" t="inlineStr">
        <is>
          <t>Planned</t>
        </is>
      </c>
      <c r="F10" s="24" t="inlineStr">
        <is>
          <t>Not covered by IT Equipment Open Tender</t>
        </is>
      </c>
      <c r="G10" s="24" t="inlineStr">
        <is>
          <t>Approve RFP product and evaluation model.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4" customHeight="1">
      <c r="A11" s="2" t="inlineStr">
        <is>
          <t>FW-006</t>
        </is>
      </c>
      <c r="B11" s="24" t="inlineStr">
        <is>
          <t>Works tender products</t>
        </is>
      </c>
      <c r="C11" s="24" t="inlineStr">
        <is>
          <t>Future programme</t>
        </is>
      </c>
      <c r="D11" s="24" t="inlineStr">
        <is>
          <t>Works-specific STD release metadata</t>
        </is>
      </c>
      <c r="E11" s="24" t="inlineStr">
        <is>
          <t>Planned</t>
        </is>
      </c>
      <c r="F11" s="24" t="inlineStr">
        <is>
          <t>BDS runtime is extensible but no Works release is approved</t>
        </is>
      </c>
      <c r="G11" s="24" t="inlineStr">
        <is>
          <t>Curate official Works STD and test distinct forms/pricing.</t>
        </is>
      </c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44" customHeight="1">
      <c r="A12" s="2" t="inlineStr">
        <is>
          <t>FW-007</t>
        </is>
      </c>
      <c r="B12" s="24" t="inlineStr">
        <is>
          <t>Other Services products</t>
        </is>
      </c>
      <c r="C12" s="24" t="inlineStr">
        <is>
          <t>Future programme</t>
        </is>
      </c>
      <c r="D12" s="24" t="inlineStr">
        <is>
          <t>Services-specific STD release metadata</t>
        </is>
      </c>
      <c r="E12" s="24" t="inlineStr">
        <is>
          <t>Planned</t>
        </is>
      </c>
      <c r="F12" s="24" t="inlineStr">
        <is>
          <t>No approved service product release</t>
        </is>
      </c>
      <c r="G12" s="24" t="inlineStr">
        <is>
          <t>Curate official service STD and response model.</t>
        </is>
      </c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4" customHeight="1">
      <c r="A13" s="2" t="inlineStr">
        <is>
          <t>FW-008</t>
        </is>
      </c>
      <c r="B13" s="24" t="inlineStr">
        <is>
          <t>Contract Management</t>
        </is>
      </c>
      <c r="C13" s="24" t="inlineStr">
        <is>
          <t>Future programme</t>
        </is>
      </c>
      <c r="D13" s="24" t="inlineStr">
        <is>
          <t>Award and contract formation</t>
        </is>
      </c>
      <c r="E13" s="24" t="inlineStr">
        <is>
          <t>Planned</t>
        </is>
      </c>
      <c r="F13" s="24" t="inlineStr">
        <is>
          <t>Current contract mappings prepare data only</t>
        </is>
      </c>
      <c r="G13" s="24" t="inlineStr">
        <is>
          <t>Approve contract lifecycle and integration contracts.</t>
        </is>
      </c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44" customHeight="1">
      <c r="A14" s="2" t="inlineStr">
        <is>
          <t>FW-009</t>
        </is>
      </c>
      <c r="B14" s="24" t="inlineStr">
        <is>
          <t>IFMIS, inventory, stores and asset integrations</t>
        </is>
      </c>
      <c r="C14" s="24" t="inlineStr">
        <is>
          <t>Future programme</t>
        </is>
      </c>
      <c r="D14" s="24" t="inlineStr">
        <is>
          <t>External interface agreements</t>
        </is>
      </c>
      <c r="E14" s="24" t="inlineStr">
        <is>
          <t>Planned</t>
        </is>
      </c>
      <c r="F14" s="24" t="inlineStr">
        <is>
          <t>No integration mechanism is presumed in MVP</t>
        </is>
      </c>
      <c r="G14" s="24" t="inlineStr">
        <is>
          <t>Agree systems, ownership, security and reconciliation.</t>
        </is>
      </c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4" customHeight="1">
      <c r="A15" s="2" t="inlineStr">
        <is>
          <t>FW-010</t>
        </is>
      </c>
      <c r="B15" s="24" t="inlineStr">
        <is>
          <t>Automated publication adapters</t>
        </is>
      </c>
      <c r="C15" s="24" t="inlineStr">
        <is>
          <t>Future enhancement</t>
        </is>
      </c>
      <c r="D15" s="24" t="inlineStr">
        <is>
          <t>Portal/channel integration agreements</t>
        </is>
      </c>
      <c r="E15" s="24" t="inlineStr">
        <is>
          <t>Planned</t>
        </is>
      </c>
      <c r="F15" s="24" t="inlineStr">
        <is>
          <t>MVP supports manual HOPF confirmation</t>
        </is>
      </c>
      <c r="G15" s="24" t="inlineStr">
        <is>
          <t>Approve per-channel adapter and acknowledgement contract.</t>
        </is>
      </c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80" customHeight="1">
      <c r="A16" s="24" t="inlineStr">
        <is>
          <t>FW-011</t>
        </is>
      </c>
      <c r="B16" s="24" t="inlineStr">
        <is>
          <t>Default internal read access to current Strategy</t>
        </is>
      </c>
      <c r="C16" s="24" t="inlineStr">
        <is>
          <t>Next access-policy revision</t>
        </is>
      </c>
      <c r="D16" s="24" t="inlineStr">
        <is>
          <t>STR-CHG-001 v1.8; AUTH-ADR-001 effective baseline</t>
        </is>
      </c>
      <c r="E16" s="24" t="inlineStr">
        <is>
          <t>To do</t>
        </is>
      </c>
      <c r="F16" s="24" t="inlineStr">
        <is>
          <t>Review access for enabled internal users to Active Strategy data only. Current assignment-based restrictions remain in force; no Draft, submitted review, approval-task, supplier or public access is approved by this entry.</t>
        </is>
      </c>
      <c r="G16" s="24" t="inlineStr">
        <is>
          <t>Decide baseline read policy versus per-module Reader responsibility; revise STR and AUTH through controlled versions; verify list, detail, export, API and write boundaries.</t>
        </is>
      </c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FW-012</t>
        </is>
      </c>
      <c r="B17" s="2" t="inlineStr">
        <is>
          <t>Production Trust, Signing and Sealed Custody support module</t>
        </is>
      </c>
      <c r="C17" s="2" t="inlineStr">
        <is>
          <t>Later support-module version</t>
        </is>
      </c>
      <c r="D17" s="2" t="inlineStr">
        <is>
          <t>TRUST-ADR-001 v0.1; licensed/accredited provider; legal L1/L2; approved government operating profile; production-equivalent tests</t>
        </is>
      </c>
      <c r="E17" s="2" t="inlineStr">
        <is>
          <t>Planned</t>
        </is>
      </c>
      <c r="F17" s="2" t="inlineStr">
        <is>
          <t>Only synthetic, explicitly labelled test proxies now. BDS v0.8 production bid submission remains disabled and electronic Bid Opening cannot be used for real bids.</t>
        </is>
      </c>
      <c r="G17" s="2" t="inlineStr">
        <is>
          <t>Approve provider/signing method, per-target legal equivalence, custody/key threshold, credentials, recovery, external channel and test/release evidence.</t>
        </is>
      </c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2">
    <mergeCell ref="A2:G2"/>
    <mergeCell ref="A1:G1"/>
  </mergeCells>
  <conditionalFormatting sqref="E6:E15">
    <cfRule type="containsText" priority="1" operator="containsText" dxfId="2" text="Approved"/>
    <cfRule type="containsText" priority="2" operator="containsText" dxfId="2" text="Passed"/>
    <cfRule type="containsText" priority="3" operator="containsText" dxfId="2" text="Released"/>
    <cfRule type="containsText" priority="4" operator="containsText" dxfId="1" text="Project Owner review"/>
    <cfRule type="containsText" priority="5" operator="containsText" dxfId="6" text="Pending"/>
    <cfRule type="containsText" priority="6" operator="containsText" dxfId="0" text="Blocked"/>
    <cfRule type="containsText" priority="7" operator="containsText" dxfId="0" text="unresolved"/>
    <cfRule type="containsText" priority="8" operator="containsText" dxfId="9" text="Not started"/>
    <cfRule type="containsText" priority="9" operator="containsText" dxfId="9" text="Not evidenced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4472C4"/>
    <outlinePr summaryBelow="1" summaryRight="1"/>
    <pageSetUpPr/>
  </sheetPr>
  <dimension ref="A1:Z200"/>
  <sheetViews>
    <sheetView showGridLines="0" workbookViewId="0">
      <pane xSplit="1" ySplit="5" topLeftCell="B6" activePane="bottomRight" state="frozen"/>
      <selection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53" customWidth="1" min="4" max="4"/>
    <col width="14" customWidth="1" min="5" max="5"/>
    <col width="24" customWidth="1" min="6" max="6"/>
    <col width="50" customWidth="1" min="7" max="7"/>
    <col width="38" customWidth="1" min="8" max="8"/>
    <col width="42" customWidth="1" min="9" max="9"/>
  </cols>
  <sheetData>
    <row r="1" ht="38" customHeight="1">
      <c r="A1" s="5" t="inlineStr">
        <is>
          <t>Control findings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34" customHeight="1">
      <c r="A2" s="8" t="inlineStr">
        <is>
          <t>Terminal review register. Findings inform action and release decisions but do not feed business calculations elsewhere in the workbook.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6" customHeight="1">
      <c r="A5" s="35" t="inlineStr">
        <is>
          <t>Finding ID</t>
        </is>
      </c>
      <c r="B5" s="35" t="inlineStr">
        <is>
          <t>Severity</t>
        </is>
      </c>
      <c r="C5" s="35" t="inlineStr">
        <is>
          <t>Type</t>
        </is>
      </c>
      <c r="D5" s="35" t="inlineStr">
        <is>
          <t>Finding</t>
        </is>
      </c>
      <c r="E5" s="35" t="inlineStr">
        <is>
          <t>Status</t>
        </is>
      </c>
      <c r="F5" s="35" t="inlineStr">
        <is>
          <t>Owner</t>
        </is>
      </c>
      <c r="G5" s="35" t="inlineStr">
        <is>
          <t>Required action</t>
        </is>
      </c>
      <c r="H5" s="35" t="inlineStr">
        <is>
          <t>Blocks</t>
        </is>
      </c>
      <c r="I5" s="35" t="inlineStr">
        <is>
          <t>Evidence</t>
        </is>
      </c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44" customHeight="1">
      <c r="A6" s="2" t="inlineStr">
        <is>
          <t>AUD-001</t>
        </is>
      </c>
      <c r="B6" s="2" t="inlineStr">
        <is>
          <t>High</t>
        </is>
      </c>
      <c r="C6" s="24" t="inlineStr">
        <is>
          <t>Approval</t>
        </is>
      </c>
      <c r="D6" s="24" t="inlineStr">
        <is>
          <t>CFG-CHG-002 v0.16 is the current successor but remains proposed.</t>
        </is>
      </c>
      <c r="E6" s="24" t="inlineStr">
        <is>
          <t>Open</t>
        </is>
      </c>
      <c r="F6" s="24" t="inlineStr">
        <is>
          <t>Project Owner</t>
        </is>
      </c>
      <c r="G6" s="24" t="inlineStr">
        <is>
          <t>Approve or return with changes.</t>
        </is>
      </c>
      <c r="H6" s="24" t="inlineStr">
        <is>
          <t>Gate 1 configuration implementation</t>
        </is>
      </c>
      <c r="I6" s="24" t="inlineStr">
        <is>
          <t>CFG-CHG-002 v0.16 control block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44" customHeight="1">
      <c r="A7" s="2" t="inlineStr">
        <is>
          <t>AUD-002</t>
        </is>
      </c>
      <c r="B7" s="2" t="inlineStr">
        <is>
          <t>High</t>
        </is>
      </c>
      <c r="C7" s="24" t="inlineStr">
        <is>
          <t>Approval</t>
        </is>
      </c>
      <c r="D7" s="24" t="inlineStr">
        <is>
          <t>TPR-CHG-001 v0.12 approved on 26 September 2026; v0.11 was proposed and never approved.</t>
        </is>
      </c>
      <c r="E7" s="24" t="inlineStr">
        <is>
          <t>Closed</t>
        </is>
      </c>
      <c r="F7" s="24" t="inlineStr">
        <is>
          <t>Project Owner</t>
        </is>
      </c>
      <c r="G7" s="24" t="inlineStr">
        <is>
          <t>No approval action remains; implementation and verification are tracked separately.</t>
        </is>
      </c>
      <c r="H7" s="24" t="inlineStr">
        <is>
          <t>Authoritative Tender implementation baseline</t>
        </is>
      </c>
      <c r="I7" s="24" t="inlineStr">
        <is>
          <t>TPR-CHG-001 v0.12 approval control block</t>
        </is>
      </c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4" customHeight="1">
      <c r="A8" s="2" t="inlineStr">
        <is>
          <t>AUD-003</t>
        </is>
      </c>
      <c r="B8" s="2" t="inlineStr">
        <is>
          <t>High</t>
        </is>
      </c>
      <c r="C8" s="24" t="inlineStr">
        <is>
          <t>Approval</t>
        </is>
      </c>
      <c r="D8" s="24" t="inlineStr">
        <is>
          <t>BDS-CHG-001 v0.8 approved on 26 September 2026; v0.7 was never approved.</t>
        </is>
      </c>
      <c r="E8" s="24" t="inlineStr">
        <is>
          <t>Closed</t>
        </is>
      </c>
      <c r="F8" s="24" t="inlineStr">
        <is>
          <t>Project Owner</t>
        </is>
      </c>
      <c r="G8" s="24" t="inlineStr">
        <is>
          <t>No further requirement approval for v0.8; retain separate TPR v0.13 dependency and production operating gates.</t>
        </is>
      </c>
      <c r="H8" s="24" t="inlineStr">
        <is>
          <t>None—requirements approval recorded</t>
        </is>
      </c>
      <c r="I8" s="24" t="inlineStr">
        <is>
          <t>BDS-CHG-001 v0.8 approval record</t>
        </is>
      </c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4" customHeight="1">
      <c r="A9" s="2" t="inlineStr">
        <is>
          <t>AUD-004</t>
        </is>
      </c>
      <c r="B9" s="2" t="inlineStr">
        <is>
          <t>High</t>
        </is>
      </c>
      <c r="C9" s="24" t="inlineStr">
        <is>
          <t>Approval</t>
        </is>
      </c>
      <c r="D9" s="24" t="inlineStr">
        <is>
          <t>STD-TPL-001 v0.10 was approved by the Project Owner on 26 September 2026.</t>
        </is>
      </c>
      <c r="E9" s="24" t="inlineStr">
        <is>
          <t>Resolved</t>
        </is>
      </c>
      <c r="F9" s="24" t="inlineStr">
        <is>
          <t>Project Owner</t>
        </is>
      </c>
      <c r="G9" s="24" t="inlineStr">
        <is>
          <t>No further document-approval action.</t>
        </is>
      </c>
      <c r="H9" s="24" t="inlineStr">
        <is>
          <t>None</t>
        </is>
      </c>
      <c r="I9" s="24" t="inlineStr">
        <is>
          <t>STD-TPL-001 v0.10 approval block, 26 September 2026</t>
        </is>
      </c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4" customHeight="1">
      <c r="A10" s="2" t="inlineStr">
        <is>
          <t>AUD-005</t>
        </is>
      </c>
      <c r="B10" s="2" t="inlineStr">
        <is>
          <t>High</t>
        </is>
      </c>
      <c r="C10" s="24" t="inlineStr">
        <is>
          <t>Approval</t>
        </is>
      </c>
      <c r="D10" s="24" t="inlineStr">
        <is>
          <t>G1-REG-001 v1.1 implementation handoff remains proposed.</t>
        </is>
      </c>
      <c r="E10" s="24" t="inlineStr">
        <is>
          <t>Open</t>
        </is>
      </c>
      <c r="F10" s="24" t="inlineStr">
        <is>
          <t>Project Owner</t>
        </is>
      </c>
      <c r="G10" s="24" t="inlineStr">
        <is>
          <t>Approve as the current Gate 1 delivery control.</t>
        </is>
      </c>
      <c r="H10" s="24" t="inlineStr">
        <is>
          <t>Single authoritative change matrix</t>
        </is>
      </c>
      <c r="I10" s="24" t="inlineStr">
        <is>
          <t>G1-REG-001 v1.1 control block</t>
        </is>
      </c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4" customHeight="1">
      <c r="A11" s="2" t="inlineStr">
        <is>
          <t>AUD-006</t>
        </is>
      </c>
      <c r="B11" s="2" t="inlineStr">
        <is>
          <t>Critical</t>
        </is>
      </c>
      <c r="C11" s="24" t="inlineStr">
        <is>
          <t>Bundle readiness</t>
        </is>
      </c>
      <c r="D11" s="24" t="inlineStr">
        <is>
          <t>The earlier IT Equipment candidate ZIP has not been reconciled and installed as a verified release under amended STD-TPL-001 v0.10.</t>
        </is>
      </c>
      <c r="E11" s="24" t="inlineStr">
        <is>
          <t>Open</t>
        </is>
      </c>
      <c r="F11" s="24" t="inlineStr">
        <is>
          <t>Controlled release owner</t>
        </is>
      </c>
      <c r="G11" s="24" t="inlineStr">
        <is>
          <t>Rebuild and verify the bundle; install with matching assets and renderer, then Administrator may turn it On.</t>
        </is>
      </c>
      <c r="H11" s="24" t="inlineStr">
        <is>
          <t>Tender publication and production Bid Submission</t>
        </is>
      </c>
      <c r="I11" s="24" t="inlineStr">
        <is>
          <t>STD-TPL-001 v0.10 in-version amendment; FU-01 OD5; earlier candidate ZIP</t>
        </is>
      </c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44" customHeight="1">
      <c r="A12" s="2" t="inlineStr">
        <is>
          <t>AUD-007</t>
        </is>
      </c>
      <c r="B12" s="2" t="inlineStr">
        <is>
          <t>Critical</t>
        </is>
      </c>
      <c r="C12" s="24" t="inlineStr">
        <is>
          <t>Operating gate</t>
        </is>
      </c>
      <c r="D12" s="24" t="inlineStr">
        <is>
          <t>Production electronic submission operating profile is not yet approved.</t>
        </is>
      </c>
      <c r="E12" s="24" t="inlineStr">
        <is>
          <t>Open</t>
        </is>
      </c>
      <c r="F12" s="24" t="inlineStr">
        <is>
          <t>Project Owner / Operations</t>
        </is>
      </c>
      <c r="G12" s="24" t="inlineStr">
        <is>
          <t>Approve support, monitoring, recovery, authority and incident arrangements; then enable the deployment flag.</t>
        </is>
      </c>
      <c r="H12" s="24" t="inlineStr">
        <is>
          <t>Production submission</t>
        </is>
      </c>
      <c r="I12" s="24" t="inlineStr">
        <is>
          <t>BDS-CHG-001 v0.8; G1-REG-001 v1.1</t>
        </is>
      </c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4" customHeight="1">
      <c r="A13" s="2" t="inlineStr">
        <is>
          <t>AUD-008</t>
        </is>
      </c>
      <c r="B13" s="2" t="inlineStr">
        <is>
          <t>High</t>
        </is>
      </c>
      <c r="C13" s="24" t="inlineStr">
        <is>
          <t>Reconciliation</t>
        </is>
      </c>
      <c r="D13" s="24" t="inlineStr">
        <is>
          <t>SEED-001 v1.3 predates the final reservation, Gate 1 public/vendor and approved workflow-guidance changes in PLN v1.27, BUD v1.11, REQ v1.12 and KT-STD v1.8.</t>
        </is>
      </c>
      <c r="E13" s="24" t="inlineStr">
        <is>
          <t>Open</t>
        </is>
      </c>
      <c r="F13" s="24" t="inlineStr">
        <is>
          <t>Requirements owner</t>
        </is>
      </c>
      <c r="G13" s="24" t="inlineStr">
        <is>
          <t>Issue a reconciled fixture version before integrated verification. Also state that the canonical seed covers every module stage as it is built (DEC-028), replacing v1.3 §5.2's "No opening/evaluation/award actual generated by this seed".</t>
        </is>
      </c>
      <c r="H13" s="24" t="inlineStr">
        <is>
          <t>Reliable end-to-end seed tests</t>
        </is>
      </c>
      <c r="I13" s="24" t="inlineStr">
        <is>
          <t>SEED-001 v1.3 compared with current baseline</t>
        </is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44" customHeight="1">
      <c r="A14" s="2" t="inlineStr">
        <is>
          <t>AUD-009</t>
        </is>
      </c>
      <c r="B14" s="2" t="inlineStr">
        <is>
          <t>Medium</t>
        </is>
      </c>
      <c r="C14" s="24" t="inlineStr">
        <is>
          <t>Stale reference</t>
        </is>
      </c>
      <c r="D14" s="24" t="inlineStr">
        <is>
          <t>RES-IMP-001 v1.0 predates the current PLN v1.27, BUD v1.11, REQ v1.12, TPR v0.11, STD-TPL v0.10 and BDS v0.7 baseline.</t>
        </is>
      </c>
      <c r="E14" s="24" t="inlineStr">
        <is>
          <t>Open</t>
        </is>
      </c>
      <c r="F14" s="24" t="inlineStr">
        <is>
          <t>Requirements owner</t>
        </is>
      </c>
      <c r="G14" s="24" t="inlineStr">
        <is>
          <t>Refresh document references without changing the approved legal decision.</t>
        </is>
      </c>
      <c r="H14" s="24" t="inlineStr">
        <is>
          <t>Clean reservation implementation handoff</t>
        </is>
      </c>
      <c r="I14" s="24" t="inlineStr">
        <is>
          <t>RES-IMP-001 v1.0 references</t>
        </is>
      </c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44" customHeight="1">
      <c r="A15" s="2" t="inlineStr">
        <is>
          <t>AUD-010</t>
        </is>
      </c>
      <c r="B15" s="2" t="inlineStr">
        <is>
          <t>High</t>
        </is>
      </c>
      <c r="C15" s="24" t="inlineStr">
        <is>
          <t>Missing controlled file</t>
        </is>
      </c>
      <c r="D15" s="24" t="inlineStr">
        <is>
          <t>STD-STD-001 v1.1 is referenced but the exact controlled file was not resolved in the admitted set.</t>
        </is>
      </c>
      <c r="E15" s="24" t="inlineStr">
        <is>
          <t>Open</t>
        </is>
      </c>
      <c r="F15" s="24" t="inlineStr">
        <is>
          <t>Documentation owner</t>
        </is>
      </c>
      <c r="G15" s="24" t="inlineStr">
        <is>
          <t>Locate or admit the exact version and record its authority.</t>
        </is>
      </c>
      <c r="H15" s="24" t="inlineStr">
        <is>
          <t>Complete template/tender/bid traceability</t>
        </is>
      </c>
      <c r="I15" s="24" t="inlineStr">
        <is>
          <t>References in current controlled documents</t>
        </is>
      </c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44" customHeight="1">
      <c r="A16" s="2" t="inlineStr">
        <is>
          <t>AUD-011</t>
        </is>
      </c>
      <c r="B16" s="2" t="inlineStr">
        <is>
          <t>High</t>
        </is>
      </c>
      <c r="C16" s="24" t="inlineStr">
        <is>
          <t>Missing controlled file</t>
        </is>
      </c>
      <c r="D16" s="24" t="inlineStr">
        <is>
          <t>STD-ST-001 v0.5 is referenced but the exact controlled file was not resolved in the admitted set.</t>
        </is>
      </c>
      <c r="E16" s="24" t="inlineStr">
        <is>
          <t>Open</t>
        </is>
      </c>
      <c r="F16" s="24" t="inlineStr">
        <is>
          <t>Documentation owner</t>
        </is>
      </c>
      <c r="G16" s="24" t="inlineStr">
        <is>
          <t>Locate or admit the exact version before integrated stress testing.</t>
        </is>
      </c>
      <c r="H16" s="24" t="inlineStr">
        <is>
          <t>Gate 1 integrated verification</t>
        </is>
      </c>
      <c r="I16" s="24" t="inlineStr">
        <is>
          <t>References in current controlled documents</t>
        </is>
      </c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44" customHeight="1">
      <c r="A17" s="2" t="inlineStr">
        <is>
          <t>AUD-012</t>
        </is>
      </c>
      <c r="B17" s="2" t="inlineStr">
        <is>
          <t>Info</t>
        </is>
      </c>
      <c r="C17" s="24" t="inlineStr">
        <is>
          <t>Scope boundary</t>
        </is>
      </c>
      <c r="D17" s="24" t="inlineStr">
        <is>
          <t>Roadmap capabilities beyond sealed Bid Submission are deliberately retained as future work.</t>
        </is>
      </c>
      <c r="E17" s="24" t="inlineStr">
        <is>
          <t>Controlled</t>
        </is>
      </c>
      <c r="F17" s="24" t="inlineStr">
        <is>
          <t>Programme owner</t>
        </is>
      </c>
      <c r="G17" s="24" t="inlineStr">
        <is>
          <t>Create separate change units when each future capability is authorised.</t>
        </is>
      </c>
      <c r="H17" s="24" t="inlineStr">
        <is>
          <t>Nothing in Gate 1</t>
        </is>
      </c>
      <c r="I17" s="24" t="inlineStr">
        <is>
          <t>KT-RCA-001 v1.1; G1-REG-001 v1.1</t>
        </is>
      </c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44" customHeight="1">
      <c r="A18" s="2" t="inlineStr">
        <is>
          <t>AUD-013</t>
        </is>
      </c>
      <c r="B18" s="2" t="inlineStr">
        <is>
          <t>High</t>
        </is>
      </c>
      <c r="C18" s="24" t="inlineStr">
        <is>
          <t>Cross-module adoption</t>
        </is>
      </c>
      <c r="D18" s="24" t="inlineStr">
        <is>
          <t>KT-STD-001 v1.9 is approved, but complete implementation evidence for its next-step, guard-reason, hand-off, My Work, Home and no-dead-end contracts does not yet exist across the active modules.</t>
        </is>
      </c>
      <c r="E18" s="24" t="inlineStr">
        <is>
          <t>Open</t>
        </is>
      </c>
      <c r="F18" s="24" t="inlineStr">
        <is>
          <t>Requirements and implementation owners</t>
        </is>
      </c>
      <c r="G18" s="24" t="inlineStr">
        <is>
          <t>Adopt the shared contract in each active module and run persona/state conformance tests.</t>
        </is>
      </c>
      <c r="H18" s="24" t="inlineStr">
        <is>
          <t>Usability-complete Gate 1 verification</t>
        </is>
      </c>
      <c r="I18" s="24" t="inlineStr">
        <is>
          <t>KT-STD-001 v1.9; PLN-CHG-001 v1.27; Workflow Guidance Standard</t>
        </is>
      </c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44" customHeight="1">
      <c r="A19" s="2" t="inlineStr">
        <is>
          <t>AUD-014</t>
        </is>
      </c>
      <c r="B19" s="2" t="inlineStr">
        <is>
          <t>High</t>
        </is>
      </c>
      <c r="C19" s="24" t="inlineStr">
        <is>
          <t>Implementation handoff</t>
        </is>
      </c>
      <c r="D19" s="24" t="inlineStr">
        <is>
          <t>G1-REG-001 v1.1 now reconciles PLN v1.27, BUD v1.11, REQ v1.12 and the STD runtime closure, but SEED-001 v1.3 still predates them.</t>
        </is>
      </c>
      <c r="E19" s="24" t="inlineStr">
        <is>
          <t>Open</t>
        </is>
      </c>
      <c r="F19" s="24" t="inlineStr">
        <is>
          <t>Requirements owner</t>
        </is>
      </c>
      <c r="G19" s="24" t="inlineStr">
        <is>
          <t>Issue a controlled SEED successor before integrated implementation verification.</t>
        </is>
      </c>
      <c r="H19" s="24" t="inlineStr">
        <is>
          <t>One reproducible end-to-end test baseline</t>
        </is>
      </c>
      <c r="I19" s="24" t="inlineStr">
        <is>
          <t>G1-REG-001 v1.1; SEED-001 v1.3 compared with current baseline</t>
        </is>
      </c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44" customHeight="1">
      <c r="A20" s="2" t="inlineStr">
        <is>
          <t>AUD-015</t>
        </is>
      </c>
      <c r="B20" s="2" t="inlineStr">
        <is>
          <t>High</t>
        </is>
      </c>
      <c r="C20" s="24" t="inlineStr">
        <is>
          <t>Approval</t>
        </is>
      </c>
      <c r="D20" s="24" t="inlineStr">
        <is>
          <t>STD-TPL-IMP-001 v1.1 was approved by the Project Owner on 26 September 2026; v1.0 was never approved.</t>
        </is>
      </c>
      <c r="E20" s="24" t="inlineStr">
        <is>
          <t>Resolved</t>
        </is>
      </c>
      <c r="F20" s="24" t="inlineStr">
        <is>
          <t>Project Owner</t>
        </is>
      </c>
      <c r="G20" s="24" t="inlineStr">
        <is>
          <t>Implement v1.1 and reconcile named consumer documents to OD5.</t>
        </is>
      </c>
      <c r="H20" s="24" t="inlineStr">
        <is>
          <t>None for implementation authority; consumer reconciliation remains</t>
        </is>
      </c>
      <c r="I20" s="24" t="inlineStr">
        <is>
          <t>STD-TPL-IMP-001 v1.1 approval block; Project Owner instruction 26 September 2026</t>
        </is>
      </c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44" customHeight="1">
      <c r="A21" s="2" t="inlineStr">
        <is>
          <t>AUD-016</t>
        </is>
      </c>
      <c r="B21" s="2" t="inlineStr">
        <is>
          <t>Medium</t>
        </is>
      </c>
      <c r="C21" s="24" t="inlineStr">
        <is>
          <t>Approval</t>
        </is>
      </c>
      <c r="D21" s="24" t="inlineStr">
        <is>
          <t>AUTH-ADR-001 v1.10 is proposed; approved v1.9 remains effective and does not yet grant Procurement Officer/HOPF STD inspection.</t>
        </is>
      </c>
      <c r="E21" s="24" t="inlineStr">
        <is>
          <t>Open</t>
        </is>
      </c>
      <c r="F21" s="24" t="inlineStr">
        <is>
          <t>Project Owner</t>
        </is>
      </c>
      <c r="G21" s="24" t="inlineStr">
        <is>
          <t>Approve or return the narrow inspection amendment.</t>
        </is>
      </c>
      <c r="H21" s="24" t="inlineStr">
        <is>
          <t>Bounded procurement-user release visibility</t>
        </is>
      </c>
      <c r="I21" s="24" t="inlineStr">
        <is>
          <t>AUTH-ADR-001 v1.10 control block</t>
        </is>
      </c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>
      <c r="A22" s="2" t="inlineStr">
        <is>
          <t>AUD-017</t>
        </is>
      </c>
      <c r="B22" s="2" t="inlineStr">
        <is>
          <t>High</t>
        </is>
      </c>
      <c r="C22" s="2" t="inlineStr">
        <is>
          <t>Cross-document reconciliation</t>
        </is>
      </c>
      <c r="D22" s="2" t="inlineStr">
        <is>
          <t>BDS v0.8 physical-security receipt view discloses supplier identity before opening despite a blanket no-PE-bidder-identity statement; BOP v0.1 and PRC v0.2 lacked closed ceremony/PRC bindings. Controlled BOP v0.2, PRC v0.3 and BDS v0.9 are proposed corrections.</t>
        </is>
      </c>
      <c r="E22" s="2" t="inlineStr">
        <is>
          <t>Open</t>
        </is>
      </c>
      <c r="F22" s="2" t="inlineStr">
        <is>
          <t>Project Owner / requirements owner</t>
        </is>
      </c>
      <c r="G22" s="2" t="inlineStr">
        <is>
          <t>Review the three coordinated proposals; approve BDS receipt-owner exception and BOP/PRC lifecycle, then close actual renderer/proof and lawful operating-profile gates separately.</t>
        </is>
      </c>
      <c r="H22" s="2" t="inlineStr">
        <is>
          <t>Reconciled Bid Opening design and production authority</t>
        </is>
      </c>
      <c r="I22" s="2" t="inlineStr">
        <is>
          <t>BDS v0.8 §§5.9, 10.16; BOP v0.2 §7.1; PRC v0.3 §7.1; BDS v0.9 §12.2A</t>
        </is>
      </c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>
      <c r="A23" s="2" t="inlineStr">
        <is>
          <t>AUD-018</t>
        </is>
      </c>
      <c r="B23" s="2" t="inlineStr">
        <is>
          <t>High</t>
        </is>
      </c>
      <c r="C23" s="2" t="inlineStr">
        <is>
          <t>Design closure</t>
        </is>
      </c>
      <c r="D23" s="2" t="inlineStr">
        <is>
          <t>Earlier BOP/PRC versions conflated design fixtures with live evidence, contained contradictory actor/branch events, and left visible actions without a clear owner command. Approved BOP v0.10 and PRC v0.9 provide the end-to-end matrix, corrected branches, owner bindings and repeatable mechanical check. The cross-project standard gate is approved in KT-STD-001 v1.10.</t>
        </is>
      </c>
      <c r="E23" s="2" t="inlineStr">
        <is>
          <t>Controlled</t>
        </is>
      </c>
      <c r="F23" s="2" t="inlineStr">
        <is>
          <t>Requirements owner / Project Owner</t>
        </is>
      </c>
      <c r="G23" s="2" t="inlineStr">
        <is>
          <t>Apply approved BOP v0.10 / PRC v0.9 and KT-STD-001 v1.10, approved 29 September 2026. Use direct copy comparisons and actor/state/event review on affected branches. TPR v0.14 post-close cancellation remains a separately owned dependency.</t>
        </is>
      </c>
      <c r="H23" s="2" t="inlineStr">
        <is>
          <t>No BOP artboard; real opening activation and integrated proof remain separate later decisions</t>
        </is>
      </c>
      <c r="I23" s="2" t="inlineStr">
        <is>
          <t>Approved BOP v0.10, admitted 29 September 2026; approved PRC v0.9 and KT-STD-001 v1.10. BOP v0.9 retained as the prior approved baseline.</t>
        </is>
      </c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30" customHeight="1">
      <c r="A24" s="24" t="inlineStr">
        <is>
          <t>AUD-019</t>
        </is>
      </c>
      <c r="B24" s="24" t="inlineStr">
        <is>
          <t>High</t>
        </is>
      </c>
      <c r="C24" s="24" t="inlineStr">
        <is>
          <t>Award release dependencies</t>
        </is>
      </c>
      <c r="D24" s="24" t="inlineStr">
        <is>
          <t>AWD v0.4 is proposed. Current legal/notice operating rules and seven counterpart contracts are not closed by drafting this document.</t>
        </is>
      </c>
      <c r="E24" s="24" t="inlineStr">
        <is>
          <t>Open</t>
        </is>
      </c>
      <c r="F24" s="24" t="inlineStr">
        <is>
          <t>Requirements owner / legal-rule owner / integration owners</t>
        </is>
      </c>
      <c r="G24" s="24" t="inlineStr">
        <is>
          <t>Approve or revise AWD; reconcile AWD-IF-01–07; verify notice audience, giving, clocks, debrief and review rules; retain LAW-V-001; implement and test real services.</t>
        </is>
      </c>
      <c r="H24" s="24" t="inlineStr">
        <is>
          <t>Production Award release</t>
        </is>
      </c>
      <c r="I24" s="24" t="inlineStr">
        <is>
          <t>AWD-CHG-001 v0.4 §§15, 17; AWD-AC-026–027</t>
        </is>
      </c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</sheetData>
  <mergeCells count="2">
    <mergeCell ref="A1:I1"/>
    <mergeCell ref="A2:I2"/>
  </mergeCells>
  <conditionalFormatting sqref="E6:E21">
    <cfRule type="containsText" priority="1" operator="containsText" dxfId="2" text="Approved"/>
    <cfRule type="containsText" priority="2" operator="containsText" dxfId="2" text="Passed"/>
    <cfRule type="containsText" priority="3" operator="containsText" dxfId="2" text="Released"/>
    <cfRule type="containsText" priority="4" operator="containsText" dxfId="1" text="Project Owner review"/>
    <cfRule type="containsText" priority="5" operator="containsText" dxfId="6" text="Pending"/>
    <cfRule type="containsText" priority="6" operator="containsText" dxfId="0" text="Blocked"/>
    <cfRule type="containsText" priority="7" operator="containsText" dxfId="0" text="unresolved"/>
    <cfRule type="containsText" priority="8" operator="containsText" dxfId="9" text="Not started"/>
    <cfRule type="containsText" priority="9" operator="containsText" dxfId="9" text="Not evidenced"/>
  </conditionalFormatting>
  <conditionalFormatting sqref="B6:B21">
    <cfRule type="containsText" priority="10" operator="containsText" dxfId="0" text="Critical"/>
    <cfRule type="containsText" priority="11" operator="containsText" dxfId="1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2026-10-01T16:19:48Z</dcterms:created>
  <dcterms:modified xmlns:dcterms="http://purl.org/dc/terms/" xmlns:xsi="http://www.w3.org/2001/XMLSchema-instance" xsi:type="dcterms:W3CDTF">2026-10-01T16:19:48Z</dcterms:modified>
</cp:coreProperties>
</file>