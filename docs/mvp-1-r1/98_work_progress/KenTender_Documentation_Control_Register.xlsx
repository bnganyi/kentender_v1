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Documents" sheetId="2" state="visible" r:id="rId2"/>
    <sheet xmlns:r="http://schemas.openxmlformats.org/officeDocument/2006/relationships" name="Interfaces" sheetId="3" state="visible" r:id="rId3"/>
    <sheet xmlns:r="http://schemas.openxmlformats.org/officeDocument/2006/relationships" name="Decisions" sheetId="4" state="visible" r:id="rId4"/>
    <sheet xmlns:r="http://schemas.openxmlformats.org/officeDocument/2006/relationships" name="Delivery" sheetId="5" state="visible" r:id="rId5"/>
    <sheet xmlns:r="http://schemas.openxmlformats.org/officeDocument/2006/relationships" name="Future Work" sheetId="6" state="visible" r:id="rId6"/>
    <sheet xmlns:r="http://schemas.openxmlformats.org/officeDocument/2006/relationships" name="Audit" sheetId="7" state="visible" r:id="rId7"/>
  </sheets>
  <definedNames/>
</workbook>
</file>

<file path=xl/styles.xml><?xml version="1.0" encoding="utf-8"?>
<styleSheet xmlns="http://schemas.openxmlformats.org/spreadsheetml/2006/main">
  <numFmts count="2">
    <numFmt numFmtId="164" formatCode="yyyy\-mm\-dd"/>
    <numFmt numFmtId="165" formatCode="yyyy-mm-dd h:mm:ss"/>
  </numFmts>
  <fonts count="16">
    <font>
      <name val="Arial"/>
      <family val="2"/>
      <sz val="10"/>
    </font>
    <font>
      <name val="Arial"/>
      <sz val="10"/>
    </font>
    <font>
      <name val="Arial"/>
      <sz val="10"/>
    </font>
    <font>
      <name val="Arial"/>
      <sz val="10"/>
    </font>
    <font>
      <name val="Calibri"/>
      <sz val="11"/>
    </font>
    <font>
      <name val="Aptos"/>
      <b val="1"/>
      <color rgb="FFFFFFFF"/>
      <sz val="20"/>
    </font>
    <font>
      <name val="Aptos"/>
      <color rgb="FF1F2937"/>
      <sz val="10"/>
    </font>
    <font>
      <name val="Aptos"/>
      <b val="1"/>
      <color rgb="FFFFFFFF"/>
      <sz val="11"/>
    </font>
    <font>
      <name val="Aptos"/>
      <b val="1"/>
      <color rgb="FF1F2937"/>
      <sz val="9"/>
    </font>
    <font>
      <name val="Aptos"/>
      <b val="1"/>
      <color rgb="FF17365D"/>
      <sz val="20"/>
    </font>
    <font>
      <name val="Aptos"/>
      <b val="1"/>
      <color rgb="FFFFFFFF"/>
      <sz val="9"/>
    </font>
    <font>
      <name val="Aptos"/>
      <b val="1"/>
      <color rgb="FF17365D"/>
      <sz val="10"/>
    </font>
    <font>
      <name val="Aptos"/>
      <b val="1"/>
      <color rgb="FFFFFFFF"/>
      <sz val="10"/>
    </font>
    <font>
      <name val="Aptos"/>
      <color rgb="FF172B4D"/>
      <sz val="11"/>
    </font>
    <font>
      <name val="Aptos"/>
      <b val="1"/>
      <color rgb="FF172B4D"/>
      <sz val="11"/>
    </font>
    <font>
      <name val="Aptos"/>
      <family val="2"/>
      <color rgb="FF172B4D"/>
      <sz val="11"/>
    </font>
  </fonts>
  <fills count="9">
    <fill>
      <patternFill/>
    </fill>
    <fill>
      <patternFill patternType="gray125"/>
    </fill>
    <fill>
      <patternFill patternType="solid">
        <fgColor rgb="FF17365D"/>
      </patternFill>
    </fill>
    <fill>
      <patternFill patternType="solid">
        <fgColor rgb="FFEAF2F8"/>
      </patternFill>
    </fill>
    <fill>
      <patternFill patternType="solid">
        <fgColor rgb="FF4472C4"/>
      </patternFill>
    </fill>
    <fill>
      <patternFill patternType="solid">
        <fgColor rgb="FFF2F2F2"/>
      </patternFill>
    </fill>
    <fill>
      <patternFill patternType="solid">
        <fgColor rgb="FFFFFFFF"/>
      </patternFill>
    </fill>
    <fill>
      <patternFill patternType="solid">
        <fgColor rgb="FFD9EAF7"/>
      </patternFill>
    </fill>
    <fill>
      <patternFill patternType="solid">
        <fgColor rgb="FF19385B"/>
      </patternFill>
    </fill>
  </fills>
  <borders count="10">
    <border>
      <left/>
      <right/>
      <top/>
      <bottom/>
      <diagonal/>
    </border>
    <border>
      <left style="thin">
        <color rgb="FFD0D7DE"/>
      </left>
      <right style="thin">
        <color rgb="FFD0D7DE"/>
      </right>
      <top style="thin">
        <color rgb="FFD0D7DE"/>
      </top>
      <bottom style="thin">
        <color rgb="FFD0D7DE"/>
      </bottom>
      <diagonal/>
    </border>
    <border>
      <left/>
      <right/>
      <top style="thin">
        <color rgb="FFD0D7DE"/>
      </top>
      <bottom/>
      <diagonal/>
    </border>
    <border>
      <left/>
      <right style="thin">
        <color rgb="FFD0D7DE"/>
      </right>
      <top style="thin">
        <color rgb="FFD0D7DE"/>
      </top>
      <bottom/>
      <diagonal/>
    </border>
    <border>
      <left/>
      <right style="thin">
        <color rgb="FFD0D7DE"/>
      </right>
      <top style="thin">
        <color rgb="FFD0D7DE"/>
      </top>
      <bottom style="thin">
        <color rgb="FFD0D7DE"/>
      </bottom>
      <diagonal/>
    </border>
    <border>
      <left style="thin">
        <color rgb="FFD0D7DE"/>
      </left>
      <right/>
      <top/>
      <bottom/>
      <diagonal/>
    </border>
    <border>
      <left/>
      <right style="thin">
        <color rgb="FFD0D7DE"/>
      </right>
      <top/>
      <bottom/>
      <diagonal/>
    </border>
    <border>
      <left style="thin">
        <color rgb="FFD0D7DE"/>
      </left>
      <right/>
      <top/>
      <bottom style="thin">
        <color rgb="FFD0D7DE"/>
      </bottom>
      <diagonal/>
    </border>
    <border>
      <left/>
      <right style="thin">
        <color rgb="FFD0D7DE"/>
      </right>
      <top/>
      <bottom style="thin">
        <color rgb="FFD0D7DE"/>
      </bottom>
      <diagonal/>
    </border>
    <border>
      <left/>
      <right/>
      <top style="thin">
        <color rgb="FFD0D7DE"/>
      </top>
      <bottom style="thin">
        <color rgb="FFD0D7D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9">
    <xf numFmtId="0" fontId="0" fillId="0" borderId="0" applyAlignment="1" pivotButton="0" quotePrefix="0" xfId="0">
      <alignment horizontal="general" vertical="bottom"/>
    </xf>
    <xf numFmtId="0" fontId="5" fillId="2" borderId="0" applyAlignment="1" pivotButton="0" quotePrefix="0" xfId="20">
      <alignment horizontal="general" vertical="center"/>
    </xf>
    <xf numFmtId="0" fontId="6" fillId="0" borderId="0" applyAlignment="1" pivotButton="0" quotePrefix="0" xfId="20">
      <alignment horizontal="general" vertical="top"/>
    </xf>
    <xf numFmtId="0" fontId="6" fillId="3" borderId="0" applyAlignment="1" pivotButton="0" quotePrefix="0" xfId="20">
      <alignment horizontal="general" vertical="center" wrapText="1"/>
    </xf>
    <xf numFmtId="0" fontId="7" fillId="4" borderId="0" applyAlignment="1" pivotButton="0" quotePrefix="0" xfId="20">
      <alignment horizontal="general" vertical="top"/>
    </xf>
    <xf numFmtId="0" fontId="8" fillId="5" borderId="1" applyAlignment="1" pivotButton="0" quotePrefix="0" xfId="20">
      <alignment horizontal="center" vertical="center" wrapText="1"/>
    </xf>
    <xf numFmtId="0" fontId="9" fillId="6" borderId="1" applyAlignment="1" pivotButton="0" quotePrefix="0" xfId="20">
      <alignment horizontal="center" vertical="center"/>
    </xf>
    <xf numFmtId="0" fontId="10" fillId="2" borderId="0" applyAlignment="1" pivotButton="0" quotePrefix="0" xfId="20">
      <alignment horizontal="general" vertical="top" wrapText="1"/>
    </xf>
    <xf numFmtId="0" fontId="6" fillId="0" borderId="0" applyAlignment="1" pivotButton="0" quotePrefix="0" xfId="20">
      <alignment horizontal="general" vertical="top" wrapText="1"/>
    </xf>
    <xf numFmtId="0" fontId="11" fillId="7" borderId="1" applyAlignment="1" pivotButton="0" quotePrefix="0" xfId="20">
      <alignment horizontal="center" vertical="center"/>
    </xf>
    <xf numFmtId="0" fontId="11" fillId="0" borderId="1" applyAlignment="1" pivotButton="0" quotePrefix="0" xfId="20">
      <alignment horizontal="general" vertical="top"/>
    </xf>
    <xf numFmtId="0" fontId="6" fillId="0" borderId="1" applyAlignment="1" pivotButton="0" quotePrefix="0" xfId="20">
      <alignment horizontal="general" vertical="top" wrapText="1"/>
    </xf>
    <xf numFmtId="0" fontId="12" fillId="2" borderId="0" applyAlignment="1" pivotButton="0" quotePrefix="0" xfId="20">
      <alignment horizontal="general" vertical="center" wrapText="1"/>
    </xf>
    <xf numFmtId="164" fontId="6" fillId="0" borderId="0" applyAlignment="1" pivotButton="0" quotePrefix="0" xfId="20">
      <alignment horizontal="general" vertical="top"/>
    </xf>
    <xf numFmtId="0" fontId="0" fillId="0" borderId="0" applyAlignment="1" pivotButton="0" quotePrefix="0" xfId="0">
      <alignment horizontal="general" vertical="bottom"/>
    </xf>
    <xf numFmtId="0" fontId="0" fillId="0" borderId="0" pivotButton="0" quotePrefix="0" xfId="0"/>
    <xf numFmtId="0" fontId="5" fillId="2" borderId="0" applyAlignment="1" pivotButton="0" quotePrefix="0" xfId="20">
      <alignment horizontal="general" vertical="center"/>
    </xf>
    <xf numFmtId="0" fontId="6" fillId="0" borderId="0" applyAlignment="1" pivotButton="0" quotePrefix="0" xfId="20">
      <alignment horizontal="general" vertical="top"/>
    </xf>
    <xf numFmtId="0" fontId="6" fillId="3" borderId="0" applyAlignment="1" pivotButton="0" quotePrefix="0" xfId="20">
      <alignment horizontal="general" vertical="center" wrapText="1"/>
    </xf>
    <xf numFmtId="0" fontId="7" fillId="4" borderId="0" applyAlignment="1" pivotButton="0" quotePrefix="0" xfId="20">
      <alignment horizontal="general" vertical="top"/>
    </xf>
    <xf numFmtId="0" fontId="8" fillId="5" borderId="1" applyAlignment="1" pivotButton="0" quotePrefix="0" xfId="20">
      <alignment horizontal="center" vertical="center" wrapText="1"/>
    </xf>
    <xf numFmtId="0" fontId="0" fillId="0" borderId="4" pivotButton="0" quotePrefix="0" xfId="0"/>
    <xf numFmtId="0" fontId="9" fillId="6" borderId="1" applyAlignment="1" pivotButton="0" quotePrefix="0" xfId="20">
      <alignment horizontal="center" vertical="center"/>
    </xf>
    <xf numFmtId="0" fontId="0" fillId="0" borderId="3" pivotButton="0" quotePrefix="0" xfId="0"/>
    <xf numFmtId="0" fontId="0" fillId="0" borderId="7" pivotButton="0" quotePrefix="0" xfId="0"/>
    <xf numFmtId="0" fontId="0" fillId="0" borderId="8" pivotButton="0" quotePrefix="0" xfId="0"/>
    <xf numFmtId="0" fontId="10" fillId="2" borderId="0" applyAlignment="1" pivotButton="0" quotePrefix="0" xfId="20">
      <alignment horizontal="general" vertical="top" wrapText="1"/>
    </xf>
    <xf numFmtId="0" fontId="6" fillId="0" borderId="0" applyAlignment="1" pivotButton="0" quotePrefix="0" xfId="20">
      <alignment horizontal="general" vertical="top" wrapText="1"/>
    </xf>
    <xf numFmtId="0" fontId="11" fillId="7" borderId="1" applyAlignment="1" pivotButton="0" quotePrefix="0" xfId="20">
      <alignment horizontal="center" vertical="center"/>
    </xf>
    <xf numFmtId="0" fontId="11" fillId="0" borderId="1" applyAlignment="1" pivotButton="0" quotePrefix="0" xfId="20">
      <alignment horizontal="general" vertical="top"/>
    </xf>
    <xf numFmtId="0" fontId="6" fillId="0" borderId="1" applyAlignment="1" pivotButton="0" quotePrefix="0" xfId="20">
      <alignment horizontal="general" vertical="top" wrapText="1"/>
    </xf>
    <xf numFmtId="0" fontId="0" fillId="0" borderId="9" pivotButton="0" quotePrefix="0" xfId="0"/>
    <xf numFmtId="0" fontId="12" fillId="2" borderId="0" applyAlignment="1" pivotButton="0" quotePrefix="0" xfId="20">
      <alignment horizontal="general" vertical="center" wrapText="1"/>
    </xf>
    <xf numFmtId="164" fontId="6" fillId="0" borderId="0" applyAlignment="1" pivotButton="0" quotePrefix="0" xfId="20">
      <alignment horizontal="general" vertical="top"/>
    </xf>
    <xf numFmtId="0" fontId="13" fillId="0" borderId="0" applyAlignment="1" pivotButton="0" quotePrefix="0" xfId="0">
      <alignment horizontal="general" vertical="top"/>
    </xf>
    <xf numFmtId="0" fontId="13" fillId="0" borderId="0" applyAlignment="1" pivotButton="0" quotePrefix="0" xfId="0">
      <alignment horizontal="general" vertical="top" wrapText="1"/>
    </xf>
    <xf numFmtId="0" fontId="6" fillId="8" borderId="0" applyAlignment="1" pivotButton="0" quotePrefix="0" xfId="0">
      <alignment horizontal="general" vertical="top"/>
    </xf>
    <xf numFmtId="0" fontId="7" fillId="8" borderId="0" applyAlignment="1" pivotButton="0" quotePrefix="0" xfId="0">
      <alignment horizontal="general" vertical="top"/>
    </xf>
    <xf numFmtId="0" fontId="7" fillId="8" borderId="0" applyAlignment="1" pivotButton="0" quotePrefix="0" xfId="0">
      <alignment horizontal="general" vertical="top" wrapText="1"/>
    </xf>
    <xf numFmtId="0" fontId="6" fillId="0" borderId="0" applyAlignment="1" pivotButton="0" quotePrefix="0" xfId="0">
      <alignment horizontal="general" vertical="top" wrapText="1"/>
    </xf>
    <xf numFmtId="164" fontId="6" fillId="0" borderId="0" applyAlignment="1" pivotButton="0" quotePrefix="0" xfId="0">
      <alignment horizontal="general" vertical="top" wrapText="1"/>
    </xf>
    <xf numFmtId="0" fontId="14" fillId="4" borderId="0" applyAlignment="1" pivotButton="0" quotePrefix="0" xfId="0">
      <alignment horizontal="general" vertical="top"/>
    </xf>
    <xf numFmtId="0" fontId="15" fillId="0" borderId="0" pivotButton="0" quotePrefix="0" xfId="0"/>
    <xf numFmtId="0" fontId="14" fillId="4" borderId="0" applyAlignment="1" pivotButton="0" quotePrefix="0" xfId="0">
      <alignment horizontal="general" vertical="top" wrapText="1"/>
    </xf>
    <xf numFmtId="0" fontId="15" fillId="0" borderId="0" applyAlignment="1" pivotButton="0" quotePrefix="0" xfId="0">
      <alignment wrapText="1"/>
    </xf>
    <xf numFmtId="0" fontId="15" fillId="0" borderId="0" applyAlignment="1" pivotButton="0" quotePrefix="0" xfId="0">
      <alignment vertical="top" wrapText="1"/>
    </xf>
    <xf numFmtId="0" fontId="14" fillId="7" borderId="1" applyAlignment="1" pivotButton="0" quotePrefix="0" xfId="0">
      <alignment horizontal="center" vertical="center"/>
    </xf>
    <xf numFmtId="0" fontId="14" fillId="0" borderId="1" applyAlignment="1" pivotButton="0" quotePrefix="0" xfId="0">
      <alignment horizontal="general" vertical="top"/>
    </xf>
    <xf numFmtId="0" fontId="13" fillId="0" borderId="1" applyAlignment="1" pivotButton="0" quotePrefix="0" xfId="0">
      <alignment horizontal="general" vertical="top" wrapText="1"/>
    </xf>
    <xf numFmtId="0" fontId="15" fillId="0" borderId="9" pivotButton="0" quotePrefix="0" xfId="0"/>
    <xf numFmtId="0" fontId="15" fillId="0" borderId="4" pivotButton="0" quotePrefix="0" xfId="0"/>
    <xf numFmtId="0" fontId="14" fillId="7" borderId="1" applyAlignment="1" pivotButton="0" quotePrefix="0" xfId="0">
      <alignment horizontal="center" vertical="center" wrapText="1"/>
    </xf>
    <xf numFmtId="0" fontId="14" fillId="0" borderId="1" applyAlignment="1" pivotButton="0" quotePrefix="0" xfId="0">
      <alignment horizontal="general" vertical="top" wrapText="1"/>
    </xf>
    <xf numFmtId="0" fontId="15" fillId="0" borderId="9" applyAlignment="1" pivotButton="0" quotePrefix="0" xfId="0">
      <alignment wrapText="1"/>
    </xf>
    <xf numFmtId="0" fontId="15" fillId="0" borderId="4" applyAlignment="1" pivotButton="0" quotePrefix="0" xfId="0">
      <alignment wrapText="1"/>
    </xf>
    <xf numFmtId="0" fontId="14" fillId="7" borderId="1" applyAlignment="1" pivotButton="0" quotePrefix="0" xfId="0">
      <alignment horizontal="center" vertical="top" wrapText="1"/>
    </xf>
    <xf numFmtId="0" fontId="15" fillId="0" borderId="9" applyAlignment="1" pivotButton="0" quotePrefix="0" xfId="0">
      <alignment vertical="top" wrapText="1"/>
    </xf>
    <xf numFmtId="0" fontId="15" fillId="0" borderId="4" applyAlignment="1" pivotButton="0" quotePrefix="0" xfId="0">
      <alignment vertical="top" wrapText="1"/>
    </xf>
    <xf numFmtId="165" fontId="13" fillId="0" borderId="0" applyAlignment="1" pivotButton="0" quotePrefix="0" xfId="0">
      <alignment horizontal="general" vertical="top" wrapText="1"/>
    </xf>
  </cellXfs>
  <cellStyles count="6">
    <cellStyle name="Normal" xfId="0"/>
    <cellStyle name="Comma" xfId="1"/>
    <cellStyle name="Comma [0]" xfId="2"/>
    <cellStyle name="Currency" xfId="3"/>
    <cellStyle name="Currency [0]" xfId="4"/>
    <cellStyle name="Percent" xfId="5"/>
  </cellStyles>
  <dxfs count="16">
    <dxf>
      <font>
        <b val="1"/>
        <color rgb="FF9C0006"/>
      </font>
      <fill>
        <patternFill>
          <bgColor rgb="FFFCE4D6"/>
        </patternFill>
      </fill>
    </dxf>
    <dxf>
      <font>
        <b val="1"/>
        <color rgb="FF7F6000"/>
      </font>
      <fill>
        <patternFill>
          <bgColor rgb="FFFFF2CC"/>
        </patternFill>
      </fill>
    </dxf>
    <dxf>
      <fill>
        <patternFill>
          <bgColor rgb="FF17365D"/>
        </patternFill>
      </fill>
    </dxf>
    <dxf>
      <fill>
        <patternFill>
          <bgColor rgb="FF000000"/>
        </patternFill>
      </fill>
    </dxf>
    <dxf>
      <fill>
        <patternFill>
          <bgColor rgb="FF1F2937"/>
        </patternFill>
      </fill>
    </dxf>
    <dxf>
      <fill>
        <patternFill>
          <bgColor rgb="FFFFFFFF"/>
        </patternFill>
      </fill>
    </dxf>
    <dxf>
      <fill>
        <patternFill>
          <bgColor rgb="FFE2F0D9"/>
        </patternFill>
      </fill>
    </dxf>
    <dxf>
      <fill>
        <patternFill>
          <bgColor rgb="FFFCE4D6"/>
        </patternFill>
      </fill>
    </dxf>
    <dxf>
      <fill>
        <patternFill>
          <bgColor rgb="FF375623"/>
        </patternFill>
      </fill>
    </dxf>
    <dxf>
      <fill>
        <patternFill>
          <bgColor rgb="FF9C0006"/>
        </patternFill>
      </fill>
    </dxf>
    <dxf>
      <fill>
        <patternFill>
          <bgColor rgb="FFF2F2F2"/>
        </patternFill>
      </fill>
    </dxf>
    <dxf>
      <fill>
        <patternFill>
          <bgColor rgb="FFFFF2CC"/>
        </patternFill>
      </fill>
    </dxf>
    <dxf>
      <fill>
        <patternFill>
          <bgColor rgb="FF7F6000"/>
        </patternFill>
      </fill>
    </dxf>
    <dxf>
      <font>
        <b val="1"/>
        <color rgb="FF375623"/>
      </font>
      <fill>
        <patternFill>
          <bgColor rgb="FFE2F0D9"/>
        </patternFill>
      </fill>
    </dxf>
    <dxf>
      <font>
        <color rgb="FF7F6000"/>
      </font>
      <fill>
        <patternFill>
          <bgColor rgb="FFFFF2CC"/>
        </patternFill>
      </fill>
    </dxf>
    <dxf>
      <font>
        <color rgb="FF1F2937"/>
      </font>
      <fill>
        <patternFill>
          <bgColor rgb="FFF2F2F2"/>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C0C0C0"/>
      <rgbColor rgb="FF808080"/>
      <rgbColor rgb="FF9999FF"/>
      <rgbColor rgb="FF993366"/>
      <rgbColor rgb="FFFFF2CC"/>
      <rgbColor rgb="FFD9EAF7"/>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EAF2F8"/>
      <rgbColor rgb="FFE2F0D9"/>
      <rgbColor rgb="FFF2F2F2"/>
      <rgbColor rgb="FF99CCFF"/>
      <rgbColor rgb="FFFF99CC"/>
      <rgbColor rgb="FFCC99FF"/>
      <rgbColor rgb="FFFCE4D6"/>
      <rgbColor rgb="FF4472C4"/>
      <rgbColor rgb="FF33CCCC"/>
      <rgbColor rgb="FF99CC00"/>
      <rgbColor rgb="FFFFCC00"/>
      <rgbColor rgb="FFFF9900"/>
      <rgbColor rgb="FFFF6600"/>
      <rgbColor rgb="FF666699"/>
      <rgbColor rgb="FF969696"/>
      <rgbColor rgb="FF17365D"/>
      <rgbColor rgb="FF339966"/>
      <rgbColor rgb="FF003300"/>
      <rgbColor rgb="FF375623"/>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DocumentsTable" displayName="DocumentsTable" ref="A5:R41" headerRowCount="1" totalsRowCount="0" totalsRowShown="0">
  <tableColumns count="18">
    <tableColumn id="1" name="Document ID"/>
    <tableColumn id="2" name="Title"/>
    <tableColumn id="3" name="Version"/>
    <tableColumn id="4" name="Module"/>
    <tableColumn id="5" name="Category"/>
    <tableColumn id="6" name="Requirement status"/>
    <tableColumn id="7" name="Approval date"/>
    <tableColumn id="8" name="Supersedes / basis"/>
    <tableColumn id="9" name="Implementation"/>
    <tableColumn id="10" name="Verification"/>
    <tableColumn id="11" name="Release"/>
    <tableColumn id="12" name="Normative"/>
    <tableColumn id="13" name="Scope"/>
    <tableColumn id="14" name="Dependencies"/>
    <tableColumn id="15" name="Required action"/>
    <tableColumn id="16" name="Source"/>
    <tableColumn id="17" name="Column17"/>
    <tableColumn id="18" name="Column18"/>
  </tableColumns>
  <tableStyleInfo name="TableStyleMedium2" showFirstColumn="0" showLastColumn="0" showRowStripes="1" showColumnStripes="0"/>
</table>
</file>

<file path=xl/tables/table2.xml><?xml version="1.0" encoding="utf-8"?>
<table xmlns="http://schemas.openxmlformats.org/spreadsheetml/2006/main" id="2" name="InterfacesTable" displayName="InterfacesTable" ref="A5:I33" headerRowCount="1" totalsRowCount="0" totalsRowShown="0">
  <autoFilter ref="A5:I33"/>
  <tableColumns count="9">
    <tableColumn id="1" name="Interface ID"/>
    <tableColumn id="2" name="Upstream owner"/>
    <tableColumn id="3" name="Downstream consumer"/>
    <tableColumn id="4" name="Contract / artifact"/>
    <tableColumn id="5" name="Requirement status"/>
    <tableColumn id="6" name="Implementation"/>
    <tableColumn id="7" name="Test status"/>
    <tableColumn id="8" name="Owning documents"/>
    <tableColumn id="9" name="Failure rule"/>
  </tableColumns>
</table>
</file>

<file path=xl/tables/table3.xml><?xml version="1.0" encoding="utf-8"?>
<table xmlns="http://schemas.openxmlformats.org/spreadsheetml/2006/main" id="3" name="DecisionsTable" displayName="DecisionsTable" ref="A5:F61" headerRowCount="1" totalsRowCount="0" totalsRowShown="0">
  <autoFilter ref="A5:F61"/>
  <tableColumns count="6">
    <tableColumn id="1" name="Decision ID"/>
    <tableColumn id="2" name="Decision"/>
    <tableColumn id="3" name="Status"/>
    <tableColumn id="4" name="Owning document"/>
    <tableColumn id="5" name="Implementation effect"/>
    <tableColumn id="6" name="Design effect"/>
  </tableColumns>
</table>
</file>

<file path=xl/tables/table4.xml><?xml version="1.0" encoding="utf-8"?>
<table xmlns="http://schemas.openxmlformats.org/spreadsheetml/2006/main" id="4" name="DeliveryTable" displayName="DeliveryTable" ref="A5:K67" headerRowCount="1" totalsRowCount="0" totalsRowShown="0">
  <autoFilter ref="A5:K67"/>
  <tableColumns count="11">
    <tableColumn id="1" name="Item ID"/>
    <tableColumn id="2" name="Area"/>
    <tableColumn id="3" name="Required change"/>
    <tableColumn id="4" name="Functional outcome"/>
    <tableColumn id="5" name="Design outcome"/>
    <tableColumn id="6" name="Owning document"/>
    <tableColumn id="7" name="Requirement status"/>
    <tableColumn id="8" name="Release gate"/>
    <tableColumn id="9" name="Implementation"/>
    <tableColumn id="10" name="Verification"/>
    <tableColumn id="11" name="Evidence / notes"/>
  </tableColumns>
</table>
</file>

<file path=xl/tables/table5.xml><?xml version="1.0" encoding="utf-8"?>
<table xmlns="http://schemas.openxmlformats.org/spreadsheetml/2006/main" id="5" name="FutureWorkTable" displayName="FutureWorkTable" ref="A5:G18" headerRowCount="1" totalsRowCount="0" totalsRowShown="0">
  <autoFilter ref="A5:G18"/>
  <tableColumns count="7">
    <tableColumn id="1" name="Future ID"/>
    <tableColumn id="2" name="Capability"/>
    <tableColumn id="3" name="Planned wave"/>
    <tableColumn id="4" name="Dependency"/>
    <tableColumn id="5" name="Status"/>
    <tableColumn id="6" name="Current boundary"/>
    <tableColumn id="7" name="Trigger to start"/>
  </tableColumns>
</table>
</file>

<file path=xl/tables/table6.xml><?xml version="1.0" encoding="utf-8"?>
<table xmlns="http://schemas.openxmlformats.org/spreadsheetml/2006/main" id="6" name="AuditTable" displayName="AuditTable" ref="A5:I36" headerRowCount="1" totalsRowCount="0" totalsRowShown="0">
  <autoFilter ref="A5:I36"/>
  <tableColumns count="9">
    <tableColumn id="1" name="Finding ID"/>
    <tableColumn id="2" name="Severity"/>
    <tableColumn id="3" name="Type"/>
    <tableColumn id="4" name="Finding"/>
    <tableColumn id="5" name="Status"/>
    <tableColumn id="6" name="Owner"/>
    <tableColumn id="7" name="Required action"/>
    <tableColumn id="8" name="Blocks"/>
    <tableColumn id="9" name="Evidence"/>
  </tableColumns>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tabColor rgb="FF17365D"/>
    <outlinePr summaryBelow="1" summaryRight="1"/>
    <pageSetUpPr/>
  </sheetPr>
  <dimension ref="A1:Z203"/>
  <sheetViews>
    <sheetView showGridLines="0" workbookViewId="0">
      <pane ySplit="2" topLeftCell="A3" activePane="bottomLeft" state="frozen"/>
      <selection activeCell="A1" sqref="A1"/>
    </sheetView>
  </sheetViews>
  <sheetFormatPr baseColWidth="8" defaultColWidth="8.6796875" defaultRowHeight="15"/>
  <cols>
    <col width="12" customWidth="1" style="14" min="1" max="1"/>
    <col width="16" customWidth="1" style="14" min="2" max="2"/>
    <col width="18" customWidth="1" style="14" min="3" max="3"/>
    <col width="25" customWidth="1" style="14" min="4" max="4"/>
    <col width="20" customWidth="1" style="14" min="5" max="5"/>
    <col width="24" customWidth="1" style="14" min="6" max="6"/>
    <col width="14" customWidth="1" style="14" min="7" max="7"/>
    <col width="25" customWidth="1" style="14" min="8" max="8"/>
  </cols>
  <sheetData>
    <row r="1" ht="37.5" customHeight="1" s="15">
      <c r="A1" s="16" t="inlineStr">
        <is>
          <t>KenTender documentation control</t>
        </is>
      </c>
      <c r="I1" s="17" t="n"/>
      <c r="J1" s="17" t="n"/>
      <c r="K1" s="17" t="n"/>
      <c r="L1" s="17" t="n"/>
      <c r="M1" s="17" t="n"/>
      <c r="N1" s="17" t="n"/>
      <c r="O1" s="17" t="n"/>
      <c r="P1" s="17" t="n"/>
      <c r="Q1" s="17" t="n"/>
      <c r="R1" s="17" t="n"/>
      <c r="S1" s="17" t="n"/>
      <c r="T1" s="17" t="n"/>
      <c r="U1" s="17" t="n"/>
      <c r="V1" s="17" t="n"/>
      <c r="W1" s="17" t="n"/>
      <c r="X1" s="17" t="n"/>
      <c r="Y1" s="17" t="n"/>
      <c r="Z1" s="17" t="n"/>
    </row>
    <row r="2" ht="33.75" customHeight="1" s="15">
      <c r="A2" s="18" t="inlineStr">
        <is>
          <t>Register as at 2026-10-11: approved requirements through 2026-10-11; later proposals are listed in Documents.</t>
        </is>
      </c>
      <c r="I2" s="17" t="n"/>
      <c r="J2" s="17" t="n"/>
      <c r="K2" s="17" t="n"/>
      <c r="L2" s="17" t="n"/>
      <c r="M2" s="17" t="n"/>
      <c r="N2" s="17" t="n"/>
      <c r="O2" s="17" t="n"/>
      <c r="P2" s="17" t="n"/>
      <c r="Q2" s="17" t="n"/>
      <c r="R2" s="17" t="n"/>
      <c r="S2" s="17" t="n"/>
      <c r="T2" s="17" t="n"/>
      <c r="U2" s="17" t="n"/>
      <c r="V2" s="17" t="n"/>
      <c r="W2" s="17" t="n"/>
      <c r="X2" s="17" t="n"/>
      <c r="Y2" s="17" t="n"/>
      <c r="Z2" s="17" t="n"/>
    </row>
    <row r="3" ht="15" customHeight="1" s="15">
      <c r="A3" s="17" t="n"/>
      <c r="B3" s="17" t="n"/>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row>
    <row r="4" ht="15" customHeight="1" s="15">
      <c r="A4" s="19" t="inlineStr">
        <is>
          <t>Baseline status</t>
        </is>
      </c>
      <c r="I4" s="17" t="n"/>
      <c r="J4" s="17" t="n"/>
      <c r="K4" s="17" t="n"/>
      <c r="L4" s="17" t="n"/>
      <c r="M4" s="17" t="n"/>
      <c r="N4" s="17" t="n"/>
      <c r="O4" s="17" t="n"/>
      <c r="P4" s="17" t="n"/>
      <c r="Q4" s="17" t="n"/>
      <c r="R4" s="17" t="n"/>
      <c r="S4" s="17" t="n"/>
      <c r="T4" s="17" t="n"/>
      <c r="U4" s="17" t="n"/>
      <c r="V4" s="17" t="n"/>
      <c r="W4" s="17" t="n"/>
      <c r="X4" s="17" t="n"/>
      <c r="Y4" s="17" t="n"/>
      <c r="Z4" s="17" t="n"/>
    </row>
    <row r="5" ht="22.35000038146973" customHeight="1" s="15">
      <c r="A5" s="20" t="inlineStr">
        <is>
          <t>Controlled / referenced artifacts</t>
        </is>
      </c>
      <c r="B5" s="21" t="n"/>
      <c r="C5" s="20" t="inlineStr">
        <is>
          <t>Approved requirements</t>
        </is>
      </c>
      <c r="D5" s="21" t="n"/>
      <c r="E5" s="20" t="inlineStr">
        <is>
          <t>Documents with proposals</t>
        </is>
      </c>
      <c r="F5" s="21" t="n"/>
      <c r="G5" s="20" t="inlineStr">
        <is>
          <t>Open delivery items</t>
        </is>
      </c>
      <c r="H5" s="21" t="n"/>
      <c r="I5" s="17" t="n"/>
      <c r="J5" s="17" t="n"/>
      <c r="K5" s="17" t="n"/>
      <c r="L5" s="17" t="n"/>
      <c r="M5" s="17" t="n"/>
      <c r="N5" s="17" t="n"/>
      <c r="O5" s="17" t="n"/>
      <c r="P5" s="17" t="n"/>
      <c r="Q5" s="17" t="n"/>
      <c r="R5" s="17" t="n"/>
      <c r="S5" s="17" t="n"/>
      <c r="T5" s="17" t="n"/>
      <c r="U5" s="17" t="n"/>
      <c r="V5" s="17" t="n"/>
      <c r="W5" s="17" t="n"/>
      <c r="X5" s="17" t="n"/>
      <c r="Y5" s="17" t="n"/>
      <c r="Z5" s="17" t="n"/>
    </row>
    <row r="6" ht="15" customHeight="1" s="15">
      <c r="A6" s="22">
        <f>COUNTA(Documents!A6:A41)</f>
        <v/>
      </c>
      <c r="B6" s="23" t="n"/>
      <c r="C6" s="22">
        <f>COUNTIF(Documents!F6:F41,"Approved requirement")</f>
        <v/>
      </c>
      <c r="D6" s="23" t="n"/>
      <c r="E6" s="22">
        <f>COUNTA(Documents!Q6:Q41)+COUNTIF(Documents!F6:F41,"Project Owner review")</f>
        <v/>
      </c>
      <c r="F6" s="23" t="n"/>
      <c r="G6" s="22">
        <f>COUNTIF(Delivery!I6:I67,"Not started")+COUNTIF(Delivery!I6:I67,"Planned")+COUNTIF(Delivery!I6:I67,"Pending")</f>
        <v/>
      </c>
      <c r="H6" s="23" t="n"/>
      <c r="I6" s="17" t="n"/>
      <c r="J6" s="17" t="n"/>
      <c r="K6" s="17" t="n"/>
      <c r="L6" s="17" t="n"/>
      <c r="M6" s="17" t="n"/>
      <c r="N6" s="17" t="n"/>
      <c r="O6" s="17" t="n"/>
      <c r="P6" s="17" t="n"/>
      <c r="Q6" s="17" t="n"/>
      <c r="R6" s="17" t="n"/>
      <c r="S6" s="17" t="n"/>
      <c r="T6" s="17" t="n"/>
      <c r="U6" s="17" t="n"/>
      <c r="V6" s="17" t="n"/>
      <c r="W6" s="17" t="n"/>
      <c r="X6" s="17" t="n"/>
      <c r="Y6" s="17" t="n"/>
      <c r="Z6" s="17" t="n"/>
    </row>
    <row r="7" ht="15" customHeight="1" s="15">
      <c r="A7" s="24" t="n"/>
      <c r="B7" s="25" t="n"/>
      <c r="C7" s="24" t="n"/>
      <c r="D7" s="25" t="n"/>
      <c r="E7" s="24" t="n"/>
      <c r="F7" s="25" t="n"/>
      <c r="G7" s="24" t="n"/>
      <c r="H7" s="25" t="n"/>
      <c r="I7" s="17" t="n"/>
      <c r="J7" s="17" t="n"/>
      <c r="K7" s="17" t="n"/>
      <c r="L7" s="17" t="n"/>
      <c r="M7" s="17" t="n"/>
      <c r="N7" s="17" t="n"/>
      <c r="O7" s="17" t="n"/>
      <c r="P7" s="17" t="n"/>
      <c r="Q7" s="17" t="n"/>
      <c r="R7" s="17" t="n"/>
      <c r="S7" s="17" t="n"/>
      <c r="T7" s="17" t="n"/>
      <c r="U7" s="17" t="n"/>
      <c r="V7" s="17" t="n"/>
      <c r="W7" s="17" t="n"/>
      <c r="X7" s="17" t="n"/>
      <c r="Y7" s="17" t="n"/>
      <c r="Z7" s="17" t="n"/>
    </row>
    <row r="8" ht="15" customHeight="1" s="15">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row>
    <row r="9" ht="15" customHeight="1" s="15">
      <c r="A9" s="19" t="inlineStr">
        <is>
          <t>Immediate attention</t>
        </is>
      </c>
      <c r="I9" s="17" t="n"/>
      <c r="J9" s="17" t="n"/>
      <c r="K9" s="17" t="n"/>
      <c r="L9" s="17" t="n"/>
      <c r="M9" s="17" t="n"/>
      <c r="N9" s="17" t="n"/>
      <c r="O9" s="17" t="n"/>
      <c r="P9" s="17" t="n"/>
      <c r="Q9" s="17" t="n"/>
      <c r="R9" s="17" t="n"/>
      <c r="S9" s="17" t="n"/>
      <c r="T9" s="17" t="n"/>
      <c r="U9" s="17" t="n"/>
      <c r="V9" s="17" t="n"/>
      <c r="W9" s="17" t="n"/>
      <c r="X9" s="17" t="n"/>
      <c r="Y9" s="17" t="n"/>
      <c r="Z9" s="17" t="n"/>
    </row>
    <row r="10" ht="15" customHeight="1" s="15">
      <c r="A10" s="26" t="inlineStr">
        <is>
          <t>Finding</t>
        </is>
      </c>
      <c r="B10" s="26" t="inlineStr">
        <is>
          <t>Severity</t>
        </is>
      </c>
      <c r="C10" s="26" t="inlineStr">
        <is>
          <t>Type</t>
        </is>
      </c>
      <c r="D10" s="26" t="inlineStr">
        <is>
          <t>Action</t>
        </is>
      </c>
      <c r="E10" s="26" t="inlineStr">
        <is>
          <t>Owner</t>
        </is>
      </c>
      <c r="F10" s="26" t="inlineStr">
        <is>
          <t>Blocks</t>
        </is>
      </c>
      <c r="G10" s="26" t="inlineStr">
        <is>
          <t>Status</t>
        </is>
      </c>
      <c r="H10" s="26" t="inlineStr">
        <is>
          <t>Evidence</t>
        </is>
      </c>
      <c r="I10" s="17" t="n"/>
      <c r="J10" s="17" t="n"/>
      <c r="K10" s="17" t="n"/>
      <c r="L10" s="17" t="n"/>
      <c r="M10" s="17" t="n"/>
      <c r="N10" s="17" t="n"/>
      <c r="O10" s="17" t="n"/>
      <c r="P10" s="17" t="n"/>
      <c r="Q10" s="17" t="n"/>
      <c r="R10" s="17" t="n"/>
      <c r="S10" s="17" t="n"/>
      <c r="T10" s="17" t="n"/>
      <c r="U10" s="17" t="n"/>
      <c r="V10" s="17" t="n"/>
      <c r="W10" s="17" t="n"/>
      <c r="X10" s="17" t="n"/>
      <c r="Y10" s="17" t="n"/>
      <c r="Z10" s="17" t="n"/>
    </row>
    <row r="11" ht="165" customHeight="1" s="15">
      <c r="A11" s="35" t="inlineStr">
        <is>
          <t>AUD-001</t>
        </is>
      </c>
      <c r="B11" s="35" t="inlineStr">
        <is>
          <t>High</t>
        </is>
      </c>
      <c r="C11" s="35" t="inlineStr">
        <is>
          <t>Approval</t>
        </is>
      </c>
      <c r="D11" s="35" t="inlineStr">
        <is>
          <t>Project Owner approved the current document on 1 October 2026. Implementation and verification remain separately tracked.</t>
        </is>
      </c>
      <c r="E11" s="35" t="inlineStr">
        <is>
          <t>Project Owner</t>
        </is>
      </c>
      <c r="F11" s="35" t="inlineStr">
        <is>
          <t>None — document approval recorded</t>
        </is>
      </c>
      <c r="G11" s="35" t="inlineStr">
        <is>
          <t>Closed</t>
        </is>
      </c>
      <c r="H11" s="35" t="inlineStr">
        <is>
          <t>CFG-CHG-002 v0.16 control block; Project Owner instruction 1 October 2026</t>
        </is>
      </c>
      <c r="I11" s="17" t="n"/>
      <c r="J11" s="17" t="n"/>
      <c r="K11" s="17" t="n"/>
      <c r="L11" s="17" t="n"/>
      <c r="M11" s="17" t="n"/>
      <c r="N11" s="17" t="n"/>
      <c r="O11" s="17" t="n"/>
      <c r="P11" s="17" t="n"/>
      <c r="Q11" s="17" t="n"/>
      <c r="R11" s="17" t="n"/>
      <c r="S11" s="17" t="n"/>
      <c r="T11" s="17" t="n"/>
      <c r="U11" s="17" t="n"/>
      <c r="V11" s="17" t="n"/>
      <c r="W11" s="17" t="n"/>
      <c r="X11" s="17" t="n"/>
      <c r="Y11" s="17" t="n"/>
      <c r="Z11" s="17" t="n"/>
    </row>
    <row r="12" ht="165" customHeight="1" s="15">
      <c r="A12" s="35" t="inlineStr">
        <is>
          <t>AUD-002</t>
        </is>
      </c>
      <c r="B12" s="35" t="inlineStr">
        <is>
          <t>High</t>
        </is>
      </c>
      <c r="C12" s="35" t="inlineStr">
        <is>
          <t>Approval</t>
        </is>
      </c>
      <c r="D12" s="35" t="inlineStr">
        <is>
          <t>No approval action remains; implementation and verification are tracked separately.</t>
        </is>
      </c>
      <c r="E12" s="35" t="inlineStr">
        <is>
          <t>Project Owner</t>
        </is>
      </c>
      <c r="F12" s="35" t="inlineStr">
        <is>
          <t>Authoritative Tender implementation baseline</t>
        </is>
      </c>
      <c r="G12" s="35" t="inlineStr">
        <is>
          <t>Closed</t>
        </is>
      </c>
      <c r="H12" s="35" t="inlineStr">
        <is>
          <t>TPR-CHG-001 v0.12 approval control block</t>
        </is>
      </c>
      <c r="I12" s="17" t="n"/>
      <c r="J12" s="17" t="n"/>
      <c r="K12" s="17" t="n"/>
      <c r="L12" s="17" t="n"/>
      <c r="M12" s="17" t="n"/>
      <c r="N12" s="17" t="n"/>
      <c r="O12" s="17" t="n"/>
      <c r="P12" s="17" t="n"/>
      <c r="Q12" s="17" t="n"/>
      <c r="R12" s="17" t="n"/>
      <c r="S12" s="17" t="n"/>
      <c r="T12" s="17" t="n"/>
      <c r="U12" s="17" t="n"/>
      <c r="V12" s="17" t="n"/>
      <c r="W12" s="17" t="n"/>
      <c r="X12" s="17" t="n"/>
      <c r="Y12" s="17" t="n"/>
      <c r="Z12" s="17" t="n"/>
    </row>
    <row r="13" ht="165" customHeight="1" s="15">
      <c r="A13" s="35" t="inlineStr">
        <is>
          <t>AUD-003</t>
        </is>
      </c>
      <c r="B13" s="35" t="inlineStr">
        <is>
          <t>High</t>
        </is>
      </c>
      <c r="C13" s="35" t="inlineStr">
        <is>
          <t>Approval</t>
        </is>
      </c>
      <c r="D13" s="35" t="inlineStr">
        <is>
          <t>No further requirement approval for v0.8; retain separate TPR v0.13 dependency and production operating gates.</t>
        </is>
      </c>
      <c r="E13" s="35" t="inlineStr">
        <is>
          <t>Project Owner</t>
        </is>
      </c>
      <c r="F13" s="35" t="inlineStr">
        <is>
          <t>None—requirements approval recorded</t>
        </is>
      </c>
      <c r="G13" s="35" t="inlineStr">
        <is>
          <t>Closed</t>
        </is>
      </c>
      <c r="H13" s="35" t="inlineStr">
        <is>
          <t>BDS-CHG-001 v0.8 approval record</t>
        </is>
      </c>
      <c r="I13" s="17" t="n"/>
      <c r="J13" s="17" t="n"/>
      <c r="K13" s="17" t="n"/>
      <c r="L13" s="17" t="n"/>
      <c r="M13" s="17" t="n"/>
      <c r="N13" s="17" t="n"/>
      <c r="O13" s="17" t="n"/>
      <c r="P13" s="17" t="n"/>
      <c r="Q13" s="17" t="n"/>
      <c r="R13" s="17" t="n"/>
      <c r="S13" s="17" t="n"/>
      <c r="T13" s="17" t="n"/>
      <c r="U13" s="17" t="n"/>
      <c r="V13" s="17" t="n"/>
      <c r="W13" s="17" t="n"/>
      <c r="X13" s="17" t="n"/>
      <c r="Y13" s="17" t="n"/>
      <c r="Z13" s="17" t="n"/>
    </row>
    <row r="14" ht="165" customHeight="1" s="15">
      <c r="A14" s="35" t="inlineStr">
        <is>
          <t>AUD-004</t>
        </is>
      </c>
      <c r="B14" s="35" t="inlineStr">
        <is>
          <t>High</t>
        </is>
      </c>
      <c r="C14" s="35" t="inlineStr">
        <is>
          <t>Approval</t>
        </is>
      </c>
      <c r="D14" s="35" t="inlineStr">
        <is>
          <t>No further document-approval action.</t>
        </is>
      </c>
      <c r="E14" s="35" t="inlineStr">
        <is>
          <t>Project Owner</t>
        </is>
      </c>
      <c r="F14" s="35" t="inlineStr">
        <is>
          <t>None</t>
        </is>
      </c>
      <c r="G14" s="35" t="inlineStr">
        <is>
          <t>Resolved</t>
        </is>
      </c>
      <c r="H14" s="35" t="inlineStr">
        <is>
          <t>STD-TPL-001 v0.10 approval block, 26 September 2026</t>
        </is>
      </c>
      <c r="I14" s="17" t="n"/>
      <c r="J14" s="17" t="n"/>
      <c r="K14" s="17" t="n"/>
      <c r="L14" s="17" t="n"/>
      <c r="M14" s="17" t="n"/>
      <c r="N14" s="17" t="n"/>
      <c r="O14" s="17" t="n"/>
      <c r="P14" s="17" t="n"/>
      <c r="Q14" s="17" t="n"/>
      <c r="R14" s="17" t="n"/>
      <c r="S14" s="17" t="n"/>
      <c r="T14" s="17" t="n"/>
      <c r="U14" s="17" t="n"/>
      <c r="V14" s="17" t="n"/>
      <c r="W14" s="17" t="n"/>
      <c r="X14" s="17" t="n"/>
      <c r="Y14" s="17" t="n"/>
      <c r="Z14" s="17" t="n"/>
    </row>
    <row r="15" ht="165" customHeight="1" s="15">
      <c r="A15" s="35" t="inlineStr">
        <is>
          <t>AUD-005</t>
        </is>
      </c>
      <c r="B15" s="35" t="inlineStr">
        <is>
          <t>High</t>
        </is>
      </c>
      <c r="C15" s="35" t="inlineStr">
        <is>
          <t>Approval</t>
        </is>
      </c>
      <c r="D15" s="35" t="inlineStr">
        <is>
          <t>Project Owner approved the current document on 1 October 2026. Implementation and verification remain separately tracked.</t>
        </is>
      </c>
      <c r="E15" s="35" t="inlineStr">
        <is>
          <t>Project Owner</t>
        </is>
      </c>
      <c r="F15" s="35" t="inlineStr">
        <is>
          <t>None — document approval recorded</t>
        </is>
      </c>
      <c r="G15" s="35" t="inlineStr">
        <is>
          <t>Closed</t>
        </is>
      </c>
      <c r="H15" s="35" t="inlineStr">
        <is>
          <t>G1-REG-001 v1.1 control block; Project Owner instruction 1 October 2026</t>
        </is>
      </c>
      <c r="I15" s="17" t="n"/>
      <c r="J15" s="17" t="n"/>
      <c r="K15" s="17" t="n"/>
      <c r="L15" s="17" t="n"/>
      <c r="M15" s="17" t="n"/>
      <c r="N15" s="17" t="n"/>
      <c r="O15" s="17" t="n"/>
      <c r="P15" s="17" t="n"/>
      <c r="Q15" s="17" t="n"/>
      <c r="R15" s="17" t="n"/>
      <c r="S15" s="17" t="n"/>
      <c r="T15" s="17" t="n"/>
      <c r="U15" s="17" t="n"/>
      <c r="V15" s="17" t="n"/>
      <c r="W15" s="17" t="n"/>
      <c r="X15" s="17" t="n"/>
      <c r="Y15" s="17" t="n"/>
      <c r="Z15" s="17" t="n"/>
    </row>
    <row r="16" ht="165" customHeight="1" s="15">
      <c r="A16" s="35" t="inlineStr">
        <is>
          <t>AUD-006</t>
        </is>
      </c>
      <c r="B16" s="35" t="inlineStr">
        <is>
          <t>Critical</t>
        </is>
      </c>
      <c r="C16" s="35" t="inlineStr">
        <is>
          <t>Bundle readiness</t>
        </is>
      </c>
      <c r="D16" s="35" t="inlineStr">
        <is>
          <t>Rebuild and verify the bundle; install with matching assets and renderer, then Administrator may turn it On.</t>
        </is>
      </c>
      <c r="E16" s="35" t="inlineStr">
        <is>
          <t>Controlled release owner</t>
        </is>
      </c>
      <c r="F16" s="35" t="inlineStr">
        <is>
          <t>Tender publication and production Bid Submission</t>
        </is>
      </c>
      <c r="G16" s="35" t="inlineStr">
        <is>
          <t>Open</t>
        </is>
      </c>
      <c r="H16" s="35" t="inlineStr">
        <is>
          <t>STD-TPL-001 v0.10 in-version amendment; FU-01 OD5; earlier candidate ZIP</t>
        </is>
      </c>
      <c r="I16" s="17" t="n"/>
      <c r="J16" s="17" t="n"/>
      <c r="K16" s="17" t="n"/>
      <c r="L16" s="17" t="n"/>
      <c r="M16" s="17" t="n"/>
      <c r="N16" s="17" t="n"/>
      <c r="O16" s="17" t="n"/>
      <c r="P16" s="17" t="n"/>
      <c r="Q16" s="17" t="n"/>
      <c r="R16" s="17" t="n"/>
      <c r="S16" s="17" t="n"/>
      <c r="T16" s="17" t="n"/>
      <c r="U16" s="17" t="n"/>
      <c r="V16" s="17" t="n"/>
      <c r="W16" s="17" t="n"/>
      <c r="X16" s="17" t="n"/>
      <c r="Y16" s="17" t="n"/>
      <c r="Z16" s="17" t="n"/>
    </row>
    <row r="17" ht="165" customHeight="1" s="15">
      <c r="A17" s="35" t="inlineStr">
        <is>
          <t>AUD-007</t>
        </is>
      </c>
      <c r="B17" s="35" t="inlineStr">
        <is>
          <t>Critical</t>
        </is>
      </c>
      <c r="C17" s="35" t="inlineStr">
        <is>
          <t>Operating gate</t>
        </is>
      </c>
      <c r="D17" s="35" t="inlineStr">
        <is>
          <t>Approve support, monitoring, recovery, authority and incident arrangements; then enable the deployment flag.</t>
        </is>
      </c>
      <c r="E17" s="35" t="inlineStr">
        <is>
          <t>Project Owner / Operations</t>
        </is>
      </c>
      <c r="F17" s="35" t="inlineStr">
        <is>
          <t>Production submission</t>
        </is>
      </c>
      <c r="G17" s="35" t="inlineStr">
        <is>
          <t>Open</t>
        </is>
      </c>
      <c r="H17" s="35" t="inlineStr">
        <is>
          <t>BDS-CHG-001 v0.8; G1-REG-001 v1.1</t>
        </is>
      </c>
      <c r="I17" s="17" t="n"/>
      <c r="J17" s="17" t="n"/>
      <c r="K17" s="17" t="n"/>
      <c r="L17" s="17" t="n"/>
      <c r="M17" s="17" t="n"/>
      <c r="N17" s="17" t="n"/>
      <c r="O17" s="17" t="n"/>
      <c r="P17" s="17" t="n"/>
      <c r="Q17" s="17" t="n"/>
      <c r="R17" s="17" t="n"/>
      <c r="S17" s="17" t="n"/>
      <c r="T17" s="17" t="n"/>
      <c r="U17" s="17" t="n"/>
      <c r="V17" s="17" t="n"/>
      <c r="W17" s="17" t="n"/>
      <c r="X17" s="17" t="n"/>
      <c r="Y17" s="17" t="n"/>
      <c r="Z17" s="17" t="n"/>
    </row>
    <row r="18" ht="165" customHeight="1" s="15">
      <c r="A18" s="35" t="inlineStr">
        <is>
          <t>AUD-008</t>
        </is>
      </c>
      <c r="B18" s="35" t="inlineStr">
        <is>
          <t>High</t>
        </is>
      </c>
      <c r="C18" s="35" t="inlineStr">
        <is>
          <t>Reconciliation</t>
        </is>
      </c>
      <c r="D18" s="35" t="inlineStr">
        <is>
          <t>Issue a reconciled fixture version before integrated verification. Also state that the canonical seed covers every module stage as it is built (DEC-028), replacing v1.3 §5.2's "No opening/evaluation/award actual generated by this seed". Carry forward SEED-OPS §11 decisions D1–D4, D7–D8 and D19–D20 into their named document successors. Keep unresolved D5–D6 and D9–D18 open; KT-STD v1.13 is approved; remaining fixture amendments stay open. Generated references are authoritative under DEC-027; static examples must not become alternate seeded tenders. Also tell the four-bid canonical story (DEC-038).</t>
        </is>
      </c>
      <c r="E18" s="35" t="inlineStr">
        <is>
          <t>Requirements owner</t>
        </is>
      </c>
      <c r="F18" s="35" t="inlineStr">
        <is>
          <t>Reliable end-to-end seed tests</t>
        </is>
      </c>
      <c r="G18" s="35" t="inlineStr">
        <is>
          <t>Open</t>
        </is>
      </c>
      <c r="H18" s="35" t="inlineStr">
        <is>
          <t>SEED-001 v1.3 compared with current baseline</t>
        </is>
      </c>
      <c r="I18" s="17" t="n"/>
      <c r="J18" s="17" t="n"/>
      <c r="K18" s="17" t="n"/>
      <c r="L18" s="17" t="n"/>
      <c r="M18" s="17" t="n"/>
      <c r="N18" s="17" t="n"/>
      <c r="O18" s="17" t="n"/>
      <c r="P18" s="17" t="n"/>
      <c r="Q18" s="17" t="n"/>
      <c r="R18" s="17" t="n"/>
      <c r="S18" s="17" t="n"/>
      <c r="T18" s="17" t="n"/>
      <c r="U18" s="17" t="n"/>
      <c r="V18" s="17" t="n"/>
      <c r="W18" s="17" t="n"/>
      <c r="X18" s="17" t="n"/>
      <c r="Y18" s="17" t="n"/>
      <c r="Z18" s="17" t="n"/>
    </row>
    <row r="19" ht="165" customHeight="1" s="15">
      <c r="A19" s="35" t="inlineStr">
        <is>
          <t>AUD-009</t>
        </is>
      </c>
      <c r="B19" s="35" t="inlineStr">
        <is>
          <t>Medium</t>
        </is>
      </c>
      <c r="C19" s="35" t="inlineStr">
        <is>
          <t>Stale reference</t>
        </is>
      </c>
      <c r="D19" s="35" t="inlineStr">
        <is>
          <t>Refresh document references without changing the approved legal decision.</t>
        </is>
      </c>
      <c r="E19" s="35" t="inlineStr">
        <is>
          <t>Requirements owner</t>
        </is>
      </c>
      <c r="F19" s="35" t="inlineStr">
        <is>
          <t>Clean reservation implementation handoff</t>
        </is>
      </c>
      <c r="G19" s="35" t="inlineStr">
        <is>
          <t>Open</t>
        </is>
      </c>
      <c r="H19" s="35" t="inlineStr">
        <is>
          <t>RES-IMP-001 v1.0 references</t>
        </is>
      </c>
      <c r="I19" s="17" t="n"/>
      <c r="J19" s="17" t="n"/>
      <c r="K19" s="17" t="n"/>
      <c r="L19" s="17" t="n"/>
      <c r="M19" s="17" t="n"/>
      <c r="N19" s="17" t="n"/>
      <c r="O19" s="17" t="n"/>
      <c r="P19" s="17" t="n"/>
      <c r="Q19" s="17" t="n"/>
      <c r="R19" s="17" t="n"/>
      <c r="S19" s="17" t="n"/>
      <c r="T19" s="17" t="n"/>
      <c r="U19" s="17" t="n"/>
      <c r="V19" s="17" t="n"/>
      <c r="W19" s="17" t="n"/>
      <c r="X19" s="17" t="n"/>
      <c r="Y19" s="17" t="n"/>
      <c r="Z19" s="17" t="n"/>
    </row>
    <row r="20" ht="165" customHeight="1" s="15">
      <c r="A20" s="35" t="inlineStr">
        <is>
          <t>AUD-010</t>
        </is>
      </c>
      <c r="B20" s="35" t="inlineStr">
        <is>
          <t>High</t>
        </is>
      </c>
      <c r="C20" s="35" t="inlineStr">
        <is>
          <t>Missing controlled file</t>
        </is>
      </c>
      <c r="D20" s="35" t="inlineStr">
        <is>
          <t>Locate or admit the exact version and record its authority.</t>
        </is>
      </c>
      <c r="E20" s="35" t="inlineStr">
        <is>
          <t>Documentation owner</t>
        </is>
      </c>
      <c r="F20" s="35" t="inlineStr">
        <is>
          <t>Complete template/tender/bid traceability</t>
        </is>
      </c>
      <c r="G20" s="35" t="inlineStr">
        <is>
          <t>Open</t>
        </is>
      </c>
      <c r="H20" s="35" t="inlineStr">
        <is>
          <t>References in current controlled documents</t>
        </is>
      </c>
      <c r="I20" s="17" t="n"/>
      <c r="J20" s="17" t="n"/>
      <c r="K20" s="17" t="n"/>
      <c r="L20" s="17" t="n"/>
      <c r="M20" s="17" t="n"/>
      <c r="N20" s="17" t="n"/>
      <c r="O20" s="17" t="n"/>
      <c r="P20" s="17" t="n"/>
      <c r="Q20" s="17" t="n"/>
      <c r="R20" s="17" t="n"/>
      <c r="S20" s="17" t="n"/>
      <c r="T20" s="17" t="n"/>
      <c r="U20" s="17" t="n"/>
      <c r="V20" s="17" t="n"/>
      <c r="W20" s="17" t="n"/>
      <c r="X20" s="17" t="n"/>
      <c r="Y20" s="17" t="n"/>
      <c r="Z20" s="17" t="n"/>
    </row>
    <row r="21" ht="165" customHeight="1" s="15">
      <c r="A21" s="35" t="inlineStr">
        <is>
          <t>AUD-011</t>
        </is>
      </c>
      <c r="B21" s="35" t="inlineStr">
        <is>
          <t>High</t>
        </is>
      </c>
      <c r="C21" s="35" t="inlineStr">
        <is>
          <t>Missing controlled file</t>
        </is>
      </c>
      <c r="D21" s="35" t="inlineStr">
        <is>
          <t>Exact v0.5 file supplied 2 October 2026 and recorded in the STD-ST-001 entry; library admission and file ID remain for the documentation owner. (Before 2 October 2026 read: Locate or admit the exact version before integrated stress testing.)</t>
        </is>
      </c>
      <c r="E21" s="35" t="inlineStr">
        <is>
          <t>Documentation owner</t>
        </is>
      </c>
      <c r="F21" s="35" t="inlineStr">
        <is>
          <t>None for file resolution; see AUD-023 for its approval-effect condition. (Before 2 October 2026 read: Gate 1 integrated verification)</t>
        </is>
      </c>
      <c r="G21" s="35" t="inlineStr">
        <is>
          <t>Resolved</t>
        </is>
      </c>
      <c r="H21" s="35" t="inlineStr">
        <is>
          <t>References in current controlled documents; KenTender_STD-ST-001_STD-ADR-002_Manual_End-to-End_Stress_Test_v0_5.md control table: Version 0.5, Status Approved, Approved on 11 September 2026</t>
        </is>
      </c>
      <c r="I21" s="17" t="n"/>
      <c r="J21" s="17" t="n"/>
      <c r="K21" s="17" t="n"/>
      <c r="L21" s="17" t="n"/>
      <c r="M21" s="17" t="n"/>
      <c r="N21" s="17" t="n"/>
      <c r="O21" s="17" t="n"/>
      <c r="P21" s="17" t="n"/>
      <c r="Q21" s="17" t="n"/>
      <c r="R21" s="17" t="n"/>
      <c r="S21" s="17" t="n"/>
      <c r="T21" s="17" t="n"/>
      <c r="U21" s="17" t="n"/>
      <c r="V21" s="17" t="n"/>
      <c r="W21" s="17" t="n"/>
      <c r="X21" s="17" t="n"/>
      <c r="Y21" s="17" t="n"/>
      <c r="Z21" s="17" t="n"/>
    </row>
    <row r="22" ht="165" customHeight="1" s="15">
      <c r="A22" s="35" t="inlineStr">
        <is>
          <t>AUD-012</t>
        </is>
      </c>
      <c r="B22" s="35" t="inlineStr">
        <is>
          <t>Info</t>
        </is>
      </c>
      <c r="C22" s="35" t="inlineStr">
        <is>
          <t>Scope boundary</t>
        </is>
      </c>
      <c r="D22" s="35" t="inlineStr">
        <is>
          <t>Create separate change units when each future capability is authorised.</t>
        </is>
      </c>
      <c r="E22" s="35" t="inlineStr">
        <is>
          <t>Programme owner</t>
        </is>
      </c>
      <c r="F22" s="35" t="inlineStr">
        <is>
          <t>Nothing in Gate 1</t>
        </is>
      </c>
      <c r="G22" s="35" t="inlineStr">
        <is>
          <t>Controlled</t>
        </is>
      </c>
      <c r="H22" s="35" t="inlineStr">
        <is>
          <t>KT-RCA-001 v1.1; G1-REG-001 v1.1</t>
        </is>
      </c>
      <c r="I22" s="17" t="n"/>
      <c r="J22" s="17" t="n"/>
      <c r="K22" s="17" t="n"/>
      <c r="L22" s="17" t="n"/>
      <c r="M22" s="17" t="n"/>
      <c r="N22" s="17" t="n"/>
      <c r="O22" s="17" t="n"/>
      <c r="P22" s="17" t="n"/>
      <c r="Q22" s="17" t="n"/>
      <c r="R22" s="17" t="n"/>
      <c r="S22" s="17" t="n"/>
      <c r="T22" s="17" t="n"/>
      <c r="U22" s="17" t="n"/>
      <c r="V22" s="17" t="n"/>
      <c r="W22" s="17" t="n"/>
      <c r="X22" s="17" t="n"/>
      <c r="Y22" s="17" t="n"/>
      <c r="Z22" s="17" t="n"/>
    </row>
    <row r="23" ht="165" customHeight="1" s="15">
      <c r="A23" s="35" t="inlineStr">
        <is>
          <t>AUD-013</t>
        </is>
      </c>
      <c r="B23" s="35" t="inlineStr">
        <is>
          <t>High</t>
        </is>
      </c>
      <c r="C23" s="35" t="inlineStr">
        <is>
          <t>Cross-module adoption</t>
        </is>
      </c>
      <c r="D23" s="35" t="inlineStr">
        <is>
          <t>Adopt the shared contract in each active module and run persona/state conformance tests.</t>
        </is>
      </c>
      <c r="E23" s="35" t="inlineStr">
        <is>
          <t>Requirements and implementation owners</t>
        </is>
      </c>
      <c r="F23" s="35" t="inlineStr">
        <is>
          <t>Usability-complete Gate 1 verification</t>
        </is>
      </c>
      <c r="G23" s="35" t="inlineStr">
        <is>
          <t>Open</t>
        </is>
      </c>
      <c r="H23" s="35" t="inlineStr">
        <is>
          <t>KT-STD-001 v1.9; PLN-CHG-001 v1.27; Workflow Guidance Standard</t>
        </is>
      </c>
      <c r="I23" s="17" t="n"/>
      <c r="J23" s="17" t="n"/>
      <c r="K23" s="17" t="n"/>
      <c r="L23" s="17" t="n"/>
      <c r="M23" s="17" t="n"/>
      <c r="N23" s="17" t="n"/>
      <c r="O23" s="17" t="n"/>
      <c r="P23" s="17" t="n"/>
      <c r="Q23" s="17" t="n"/>
      <c r="R23" s="17" t="n"/>
      <c r="S23" s="17" t="n"/>
      <c r="T23" s="17" t="n"/>
      <c r="U23" s="17" t="n"/>
      <c r="V23" s="17" t="n"/>
      <c r="W23" s="17" t="n"/>
      <c r="X23" s="17" t="n"/>
      <c r="Y23" s="17" t="n"/>
      <c r="Z23" s="17" t="n"/>
    </row>
    <row r="24" ht="165" customHeight="1" s="15">
      <c r="A24" s="35" t="inlineStr">
        <is>
          <t>AUD-014</t>
        </is>
      </c>
      <c r="B24" s="35" t="inlineStr">
        <is>
          <t>High</t>
        </is>
      </c>
      <c r="C24" s="35" t="inlineStr">
        <is>
          <t>Implementation handoff</t>
        </is>
      </c>
      <c r="D24" s="35" t="inlineStr">
        <is>
          <t>Issue a controlled SEED successor before integrated implementation verification.</t>
        </is>
      </c>
      <c r="E24" s="35" t="inlineStr">
        <is>
          <t>Requirements owner</t>
        </is>
      </c>
      <c r="F24" s="35" t="inlineStr">
        <is>
          <t>One reproducible end-to-end test baseline</t>
        </is>
      </c>
      <c r="G24" s="35" t="inlineStr">
        <is>
          <t>Open</t>
        </is>
      </c>
      <c r="H24" s="35" t="inlineStr">
        <is>
          <t>G1-REG-001 v1.1; SEED-001 v1.3 compared with current baseline</t>
        </is>
      </c>
      <c r="I24" s="17" t="n"/>
      <c r="J24" s="17" t="n"/>
      <c r="K24" s="17" t="n"/>
      <c r="L24" s="17" t="n"/>
      <c r="M24" s="17" t="n"/>
      <c r="N24" s="17" t="n"/>
      <c r="O24" s="17" t="n"/>
      <c r="P24" s="17" t="n"/>
      <c r="Q24" s="17" t="n"/>
      <c r="R24" s="17" t="n"/>
      <c r="S24" s="17" t="n"/>
      <c r="T24" s="17" t="n"/>
      <c r="U24" s="17" t="n"/>
      <c r="V24" s="17" t="n"/>
      <c r="W24" s="17" t="n"/>
      <c r="X24" s="17" t="n"/>
      <c r="Y24" s="17" t="n"/>
      <c r="Z24" s="17" t="n"/>
    </row>
    <row r="25" ht="165" customHeight="1" s="15">
      <c r="A25" s="35" t="inlineStr">
        <is>
          <t>AUD-015</t>
        </is>
      </c>
      <c r="B25" s="35" t="inlineStr">
        <is>
          <t>High</t>
        </is>
      </c>
      <c r="C25" s="35" t="inlineStr">
        <is>
          <t>Approval</t>
        </is>
      </c>
      <c r="D25" s="35" t="inlineStr">
        <is>
          <t>Implement v1.1 and reconcile named consumer documents to OD5.</t>
        </is>
      </c>
      <c r="E25" s="35" t="inlineStr">
        <is>
          <t>Project Owner</t>
        </is>
      </c>
      <c r="F25" s="35" t="inlineStr">
        <is>
          <t>None for implementation authority; consumer reconciliation remains</t>
        </is>
      </c>
      <c r="G25" s="35" t="inlineStr">
        <is>
          <t>Resolved</t>
        </is>
      </c>
      <c r="H25" s="35" t="inlineStr">
        <is>
          <t>STD-TPL-IMP-001 v1.1 approval block; Project Owner instruction 26 September 2026</t>
        </is>
      </c>
    </row>
    <row r="26" ht="165" customHeight="1" s="15">
      <c r="A26" s="35" t="inlineStr">
        <is>
          <t>AUD-016</t>
        </is>
      </c>
      <c r="B26" s="35" t="inlineStr">
        <is>
          <t>Medium</t>
        </is>
      </c>
      <c r="C26" s="35" t="inlineStr">
        <is>
          <t>Approval</t>
        </is>
      </c>
      <c r="D26" s="35" t="inlineStr">
        <is>
          <t>Project Owner approved the current document on 1 October 2026. Implementation and verification remain separately tracked.</t>
        </is>
      </c>
      <c r="E26" s="35" t="inlineStr">
        <is>
          <t>Project Owner</t>
        </is>
      </c>
      <c r="F26" s="35" t="inlineStr">
        <is>
          <t>None — document approval recorded</t>
        </is>
      </c>
      <c r="G26" s="35" t="inlineStr">
        <is>
          <t>Closed</t>
        </is>
      </c>
      <c r="H26" s="35" t="inlineStr">
        <is>
          <t>AUTH-ADR-001 v1.10 control block; Project Owner instruction 1 October 2026</t>
        </is>
      </c>
    </row>
    <row r="27" ht="165" customHeight="1" s="15">
      <c r="A27" s="35" t="inlineStr">
        <is>
          <t>AUD-017</t>
        </is>
      </c>
      <c r="B27" s="35" t="inlineStr">
        <is>
          <t>High</t>
        </is>
      </c>
      <c r="C27" s="35" t="inlineStr">
        <is>
          <t>Cross-document reconciliation</t>
        </is>
      </c>
      <c r="D27" s="35" t="inlineStr">
        <is>
          <t>Review the three coordinated proposals; approve BDS receipt-owner exception and BOP/PRC lifecycle, then close actual renderer/proof and lawful operating-profile gates separately.</t>
        </is>
      </c>
      <c r="E27" s="35" t="inlineStr">
        <is>
          <t>Project Owner / requirements owner</t>
        </is>
      </c>
      <c r="F27" s="35" t="inlineStr">
        <is>
          <t>Reconciled Bid Opening design and production authority</t>
        </is>
      </c>
      <c r="G27" s="35" t="inlineStr">
        <is>
          <t>Open</t>
        </is>
      </c>
      <c r="H27" s="35" t="inlineStr">
        <is>
          <t>BDS v0.8 §§5.9, 10.16; BOP v0.2 §7.1; PRC v0.3 §7.1; BDS v0.9 §12.2A</t>
        </is>
      </c>
    </row>
    <row r="28" ht="165" customHeight="1" s="15">
      <c r="A28" s="35" t="inlineStr">
        <is>
          <t>AUD-018</t>
        </is>
      </c>
      <c r="B28" s="35" t="inlineStr">
        <is>
          <t>High</t>
        </is>
      </c>
      <c r="C28" s="35" t="inlineStr">
        <is>
          <t>Design closure</t>
        </is>
      </c>
      <c r="D28" s="35" t="inlineStr">
        <is>
          <t>Apply approved BOP v0.10 / PRC v0.9 and KT-STD-001 v1.10, approved 29 September 2026. Use direct copy comparisons and actor/state/event review on affected branches. TPR v0.14 post-close cancellation remains a separately owned dependency.</t>
        </is>
      </c>
      <c r="E28" s="35" t="inlineStr">
        <is>
          <t>Requirements owner / Project Owner</t>
        </is>
      </c>
      <c r="F28" s="35" t="inlineStr">
        <is>
          <t>No BOP artboard; real opening activation and integrated proof remain separate later decisions</t>
        </is>
      </c>
      <c r="G28" s="35" t="inlineStr">
        <is>
          <t>Controlled</t>
        </is>
      </c>
      <c r="H28" s="35" t="inlineStr">
        <is>
          <t>Approved BOP v0.10, admitted 29 September 2026; approved PRC v0.9 and KT-STD-001 v1.10. BOP v0.9 retained as the prior approved baseline.</t>
        </is>
      </c>
      <c r="I28" s="17" t="n"/>
      <c r="J28" s="17" t="n"/>
      <c r="K28" s="17" t="n"/>
      <c r="L28" s="17" t="n"/>
      <c r="M28" s="17" t="n"/>
      <c r="N28" s="17" t="n"/>
      <c r="O28" s="17" t="n"/>
      <c r="P28" s="17" t="n"/>
      <c r="Q28" s="17" t="n"/>
      <c r="R28" s="17" t="n"/>
      <c r="S28" s="17" t="n"/>
      <c r="T28" s="17" t="n"/>
      <c r="U28" s="17" t="n"/>
      <c r="V28" s="17" t="n"/>
      <c r="W28" s="17" t="n"/>
      <c r="X28" s="17" t="n"/>
      <c r="Y28" s="17" t="n"/>
      <c r="Z28" s="17" t="n"/>
    </row>
    <row r="29" ht="165" customHeight="1" s="15">
      <c r="A29" s="35" t="inlineStr">
        <is>
          <t>AUD-019</t>
        </is>
      </c>
      <c r="B29" s="35" t="inlineStr">
        <is>
          <t>High</t>
        </is>
      </c>
      <c r="C29" s="35" t="inlineStr">
        <is>
          <t>Award release dependencies</t>
        </is>
      </c>
      <c r="D29" s="35" t="inlineStr">
        <is>
          <t>reconcile AWD-IF-01–07; verify notice audience, giving, clocks, debrief and review rules; retain LAW-V-001; implement and test real services.</t>
        </is>
      </c>
      <c r="E29" s="35" t="inlineStr">
        <is>
          <t>Requirements owner / legal-rule owner / integration owners</t>
        </is>
      </c>
      <c r="F29" s="35" t="inlineStr">
        <is>
          <t>Production Award release</t>
        </is>
      </c>
      <c r="G29" s="35" t="inlineStr">
        <is>
          <t>Open</t>
        </is>
      </c>
      <c r="H29" s="35" t="inlineStr">
        <is>
          <t>AWD-CHG-001 v0.4 §§15, 17; AWD-AC-026–027</t>
        </is>
      </c>
      <c r="I29" s="17" t="n"/>
      <c r="J29" s="17" t="n"/>
      <c r="K29" s="17" t="n"/>
      <c r="L29" s="17" t="n"/>
      <c r="M29" s="17" t="n"/>
      <c r="N29" s="17" t="n"/>
      <c r="O29" s="17" t="n"/>
      <c r="P29" s="17" t="n"/>
      <c r="Q29" s="17" t="n"/>
      <c r="R29" s="17" t="n"/>
      <c r="S29" s="17" t="n"/>
      <c r="T29" s="17" t="n"/>
      <c r="U29" s="17" t="n"/>
      <c r="V29" s="17" t="n"/>
      <c r="W29" s="17" t="n"/>
      <c r="X29" s="17" t="n"/>
      <c r="Y29" s="17" t="n"/>
      <c r="Z29" s="17" t="n"/>
    </row>
    <row r="30" ht="165" customHeight="1" s="15">
      <c r="A30" s="43" t="inlineStr">
        <is>
          <t>AUD-020</t>
        </is>
      </c>
      <c r="I30" s="17" t="n"/>
      <c r="J30" s="17" t="n"/>
      <c r="K30" s="17" t="n"/>
      <c r="L30" s="17" t="n"/>
      <c r="M30" s="17" t="n"/>
      <c r="N30" s="17" t="n"/>
      <c r="O30" s="17" t="n"/>
      <c r="P30" s="17" t="n"/>
      <c r="Q30" s="17" t="n"/>
      <c r="R30" s="17" t="n"/>
      <c r="S30" s="17" t="n"/>
      <c r="T30" s="17" t="n"/>
      <c r="U30" s="17" t="n"/>
      <c r="V30" s="17" t="n"/>
      <c r="W30" s="17" t="n"/>
      <c r="X30" s="17" t="n"/>
      <c r="Y30" s="17" t="n"/>
      <c r="Z30" s="17" t="n"/>
    </row>
    <row r="31" ht="165" customHeight="1" s="15">
      <c r="A31" s="55" t="inlineStr">
        <is>
          <t>AUD-021</t>
        </is>
      </c>
      <c r="B31" s="52" t="inlineStr">
        <is>
          <t>Medium</t>
        </is>
      </c>
      <c r="C31" s="48" t="inlineStr">
        <is>
          <t>Register lag</t>
        </is>
      </c>
      <c r="D31" s="31" t="n"/>
      <c r="E31" s="31" t="n"/>
      <c r="F31" s="31" t="n"/>
      <c r="G31" s="31" t="n"/>
      <c r="H31" s="21" t="n"/>
      <c r="I31" s="17" t="n"/>
      <c r="J31" s="17" t="n"/>
      <c r="K31" s="17" t="n"/>
      <c r="L31" s="17" t="n"/>
      <c r="M31" s="17" t="n"/>
      <c r="N31" s="17" t="n"/>
      <c r="O31" s="17" t="n"/>
      <c r="P31" s="17" t="n"/>
      <c r="Q31" s="17" t="n"/>
      <c r="R31" s="17" t="n"/>
      <c r="S31" s="17" t="n"/>
      <c r="T31" s="17" t="n"/>
      <c r="U31" s="17" t="n"/>
      <c r="V31" s="17" t="n"/>
      <c r="W31" s="17" t="n"/>
      <c r="X31" s="17" t="n"/>
      <c r="Y31" s="17" t="n"/>
      <c r="Z31" s="17" t="n"/>
    </row>
    <row r="32" ht="165" customHeight="1" s="15">
      <c r="A32" s="55" t="inlineStr">
        <is>
          <t>AUD-022</t>
        </is>
      </c>
      <c r="B32" s="52" t="inlineStr">
        <is>
          <t>Medium</t>
        </is>
      </c>
      <c r="C32" s="48" t="inlineStr">
        <is>
          <t>Stale reference</t>
        </is>
      </c>
      <c r="D32" s="31" t="n"/>
      <c r="E32" s="31" t="n"/>
      <c r="F32" s="31" t="n"/>
      <c r="G32" s="31" t="n"/>
      <c r="H32" s="21" t="n"/>
      <c r="I32" s="17" t="n"/>
      <c r="J32" s="17" t="n"/>
      <c r="K32" s="17" t="n"/>
      <c r="L32" s="17" t="n"/>
      <c r="M32" s="17" t="n"/>
      <c r="N32" s="17" t="n"/>
      <c r="O32" s="17" t="n"/>
      <c r="P32" s="17" t="n"/>
      <c r="Q32" s="17" t="n"/>
      <c r="R32" s="17" t="n"/>
      <c r="S32" s="17" t="n"/>
      <c r="T32" s="17" t="n"/>
      <c r="U32" s="17" t="n"/>
      <c r="V32" s="17" t="n"/>
      <c r="W32" s="17" t="n"/>
      <c r="X32" s="17" t="n"/>
      <c r="Y32" s="17" t="n"/>
      <c r="Z32" s="17" t="n"/>
    </row>
    <row r="33" ht="165" customHeight="1" s="15">
      <c r="A33" s="55" t="inlineStr">
        <is>
          <t>AUD-023</t>
        </is>
      </c>
      <c r="B33" s="52" t="inlineStr">
        <is>
          <t>Medium</t>
        </is>
      </c>
      <c r="C33" s="48" t="inlineStr">
        <is>
          <t>Evidence</t>
        </is>
      </c>
      <c r="D33" s="31" t="n"/>
      <c r="E33" s="31" t="n"/>
      <c r="F33" s="31" t="n"/>
      <c r="G33" s="31" t="n"/>
      <c r="H33" s="21" t="n"/>
      <c r="I33" s="17" t="n"/>
      <c r="J33" s="17" t="n"/>
      <c r="K33" s="17" t="n"/>
      <c r="L33" s="17" t="n"/>
      <c r="M33" s="17" t="n"/>
      <c r="N33" s="17" t="n"/>
      <c r="O33" s="17" t="n"/>
      <c r="P33" s="17" t="n"/>
      <c r="Q33" s="17" t="n"/>
      <c r="R33" s="17" t="n"/>
      <c r="S33" s="17" t="n"/>
      <c r="T33" s="17" t="n"/>
      <c r="U33" s="17" t="n"/>
      <c r="V33" s="17" t="n"/>
      <c r="W33" s="17" t="n"/>
      <c r="X33" s="17" t="n"/>
      <c r="Y33" s="17" t="n"/>
      <c r="Z33" s="17" t="n"/>
    </row>
    <row r="34" ht="165" customHeight="1" s="15">
      <c r="A34" s="55" t="inlineStr">
        <is>
          <t>AUD-024</t>
        </is>
      </c>
      <c r="B34" s="52" t="inlineStr">
        <is>
          <t>Low</t>
        </is>
      </c>
      <c r="C34" s="48" t="inlineStr">
        <is>
          <t>Version coordination</t>
        </is>
      </c>
      <c r="D34" s="31" t="n"/>
      <c r="E34" s="31" t="n"/>
      <c r="F34" s="31" t="n"/>
      <c r="G34" s="31" t="n"/>
      <c r="H34" s="21" t="n"/>
      <c r="I34" s="17" t="n"/>
      <c r="J34" s="17" t="n"/>
      <c r="K34" s="17" t="n"/>
      <c r="L34" s="17" t="n"/>
      <c r="M34" s="17" t="n"/>
      <c r="N34" s="17" t="n"/>
      <c r="O34" s="17" t="n"/>
      <c r="P34" s="17" t="n"/>
      <c r="Q34" s="17" t="n"/>
      <c r="R34" s="17" t="n"/>
      <c r="S34" s="17" t="n"/>
      <c r="T34" s="17" t="n"/>
      <c r="U34" s="17" t="n"/>
      <c r="V34" s="17" t="n"/>
      <c r="W34" s="17" t="n"/>
      <c r="X34" s="17" t="n"/>
      <c r="Y34" s="17" t="n"/>
      <c r="Z34" s="17" t="n"/>
    </row>
    <row r="35" ht="165" customHeight="1" s="15">
      <c r="A35" s="35" t="inlineStr">
        <is>
          <t>AUD-025</t>
        </is>
      </c>
      <c r="B35" s="35" t="inlineStr">
        <is>
          <t>High</t>
        </is>
      </c>
      <c r="C35" s="35" t="inlineStr">
        <is>
          <t>Permission conflict</t>
        </is>
      </c>
      <c r="D35" s="35" t="inlineStr">
        <is>
          <t>Policy approved 3 October 2026; verify owner implementation and sealed-custody boundaries.</t>
        </is>
      </c>
      <c r="E35" s="35" t="inlineStr">
        <is>
          <t>Requirements owner / Project Owner</t>
        </is>
      </c>
      <c r="F35" s="35" t="inlineStr">
        <is>
          <t>Implementation verification only</t>
        </is>
      </c>
      <c r="G35" s="35" t="inlineStr">
        <is>
          <t>Resolved in requirements</t>
        </is>
      </c>
      <c r="H35" s="35" t="inlineStr">
        <is>
          <t>Supplied KT-STD, BOP, PRC, AWD and BDS permission sections</t>
        </is>
      </c>
      <c r="I35" s="17" t="n"/>
      <c r="J35" s="17" t="n"/>
      <c r="K35" s="17" t="n"/>
      <c r="L35" s="17" t="n"/>
      <c r="M35" s="17" t="n"/>
      <c r="N35" s="17" t="n"/>
      <c r="O35" s="17" t="n"/>
      <c r="P35" s="17" t="n"/>
      <c r="Q35" s="17" t="n"/>
      <c r="R35" s="17" t="n"/>
      <c r="S35" s="17" t="n"/>
      <c r="T35" s="17" t="n"/>
      <c r="U35" s="17" t="n"/>
      <c r="V35" s="17" t="n"/>
      <c r="W35" s="17" t="n"/>
      <c r="X35" s="17" t="n"/>
      <c r="Y35" s="17" t="n"/>
      <c r="Z35" s="17" t="n"/>
    </row>
    <row r="36" ht="165" customHeight="1" s="15">
      <c r="A36" s="35" t="inlineStr">
        <is>
          <t>AUD-026</t>
        </is>
      </c>
      <c r="B36" s="35" t="inlineStr">
        <is>
          <t>High</t>
        </is>
      </c>
      <c r="C36" s="35" t="inlineStr">
        <is>
          <t>Missing sources</t>
        </is>
      </c>
      <c r="D36" s="35" t="inlineStr">
        <is>
          <t>Supply current CM sources; reconcile independent CM and canonical fixtures.</t>
        </is>
      </c>
      <c r="E36" s="35" t="inlineStr">
        <is>
          <t>Documentation owner</t>
        </is>
      </c>
      <c r="F36" s="35" t="inlineStr">
        <is>
          <t>Affected deferred scope only; not supplied-module review</t>
        </is>
      </c>
      <c r="G36" s="35" t="inlineStr">
        <is>
          <t>Deferred by owner</t>
        </is>
      </c>
      <c r="H36" s="35" t="inlineStr">
        <is>
          <t>Both archive inventories and standalone STD-TPL v0.15</t>
        </is>
      </c>
      <c r="I36" s="17" t="n"/>
      <c r="J36" s="17" t="n"/>
      <c r="K36" s="17" t="n"/>
      <c r="L36" s="17" t="n"/>
      <c r="M36" s="17" t="n"/>
      <c r="N36" s="17" t="n"/>
      <c r="O36" s="17" t="n"/>
      <c r="P36" s="17" t="n"/>
      <c r="Q36" s="17" t="n"/>
      <c r="R36" s="17" t="n"/>
      <c r="S36" s="17" t="n"/>
      <c r="T36" s="17" t="n"/>
      <c r="U36" s="17" t="n"/>
      <c r="V36" s="17" t="n"/>
      <c r="W36" s="17" t="n"/>
      <c r="X36" s="17" t="n"/>
      <c r="Y36" s="17" t="n"/>
      <c r="Z36" s="17" t="n"/>
    </row>
    <row r="37" ht="165" customHeight="1" s="15">
      <c r="A37" s="35" t="inlineStr">
        <is>
          <t>AUD-027</t>
        </is>
      </c>
      <c r="B37" s="35" t="inlineStr">
        <is>
          <t>Medium</t>
        </is>
      </c>
      <c r="C37" s="35" t="inlineStr">
        <is>
          <t>Register reconciliation</t>
        </is>
      </c>
      <c r="D37" s="35" t="inlineStr">
        <is>
          <t>Updated known approved baselines and tracked pending source chains plus OVS proposals without approving them.</t>
        </is>
      </c>
      <c r="E37" s="35" t="inlineStr">
        <is>
          <t>Documentation owner</t>
        </is>
      </c>
      <c r="F37" s="35" t="inlineStr">
        <is>
          <t>None for corrected metadata</t>
        </is>
      </c>
      <c r="G37" s="35" t="inlineStr">
        <is>
          <t>Closed</t>
        </is>
      </c>
      <c r="H37" s="35" t="inlineStr">
        <is>
          <t>Supplied control blocks; approved predecessor history retained</t>
        </is>
      </c>
      <c r="I37" s="17" t="n"/>
      <c r="J37" s="17" t="n"/>
      <c r="K37" s="17" t="n"/>
      <c r="L37" s="17" t="n"/>
      <c r="M37" s="17" t="n"/>
      <c r="N37" s="17" t="n"/>
      <c r="O37" s="17" t="n"/>
      <c r="P37" s="17" t="n"/>
      <c r="Q37" s="17" t="n"/>
      <c r="R37" s="17" t="n"/>
      <c r="S37" s="17" t="n"/>
      <c r="T37" s="17" t="n"/>
      <c r="U37" s="17" t="n"/>
      <c r="V37" s="17" t="n"/>
      <c r="W37" s="17" t="n"/>
      <c r="X37" s="17" t="n"/>
      <c r="Y37" s="17" t="n"/>
      <c r="Z37" s="17" t="n"/>
    </row>
    <row r="38" ht="165" customHeight="1" s="15">
      <c r="A38" s="35" t="inlineStr">
        <is>
          <t>AUD-028</t>
        </is>
      </c>
      <c r="B38" s="35" t="inlineStr">
        <is>
          <t>Medium</t>
        </is>
      </c>
      <c r="C38" s="35" t="inlineStr">
        <is>
          <t>Pending change preservation</t>
        </is>
      </c>
      <c r="D38" s="35" t="inlineStr">
        <is>
          <t>Reconcile the separate walkthrough change with OVS and IF-020; preserve approval history and rebase version numbering.</t>
        </is>
      </c>
      <c r="E38" s="35" t="inlineStr">
        <is>
          <t>Documentation owner</t>
        </is>
      </c>
      <c r="F38" s="35" t="inlineStr">
        <is>
          <t>Affected deferred scope only; not supplied-module review</t>
        </is>
      </c>
      <c r="G38" s="35" t="inlineStr">
        <is>
          <t>Deferred by owner</t>
        </is>
      </c>
      <c r="H38" s="35" t="inlineStr">
        <is>
          <t>STD-TPL v0.15 control block; IF-020; AUD-024</t>
        </is>
      </c>
      <c r="I38" s="17" t="n"/>
      <c r="J38" s="17" t="n"/>
      <c r="K38" s="17" t="n"/>
      <c r="L38" s="17" t="n"/>
      <c r="M38" s="17" t="n"/>
      <c r="N38" s="17" t="n"/>
      <c r="O38" s="17" t="n"/>
      <c r="P38" s="17" t="n"/>
      <c r="Q38" s="17" t="n"/>
      <c r="R38" s="17" t="n"/>
      <c r="S38" s="17" t="n"/>
      <c r="T38" s="17" t="n"/>
      <c r="U38" s="17" t="n"/>
      <c r="V38" s="17" t="n"/>
      <c r="W38" s="17" t="n"/>
      <c r="X38" s="17" t="n"/>
      <c r="Y38" s="17" t="n"/>
      <c r="Z38" s="17" t="n"/>
    </row>
    <row r="39" ht="165" customHeight="1" s="15">
      <c r="A39" s="35" t="inlineStr">
        <is>
          <t>AUD-029</t>
        </is>
      </c>
      <c r="B39" s="35" t="inlineStr">
        <is>
          <t>High</t>
        </is>
      </c>
      <c r="C39" s="35" t="inlineStr">
        <is>
          <t>Context conflict</t>
        </is>
      </c>
      <c r="D39" s="35" t="inlineStr">
        <is>
          <t>Approve CTX v1.1 alignment and verify obsolete preference/gate consumers are removed.</t>
        </is>
      </c>
      <c r="E39" s="35" t="inlineStr">
        <is>
          <t>Shared context owner</t>
        </is>
      </c>
      <c r="F39" s="35" t="inlineStr">
        <is>
          <t>Affected context implementation</t>
        </is>
      </c>
      <c r="G39" s="35" t="inlineStr">
        <is>
          <t>Correction approved; implementation unverified</t>
        </is>
      </c>
      <c r="H39" s="35" t="inlineStr">
        <is>
          <t>CTX v1.0 §§2–5; AUTH v1.10; supplied CFG/NDS</t>
        </is>
      </c>
      <c r="I39" s="17" t="n"/>
      <c r="J39" s="17" t="n"/>
      <c r="K39" s="17" t="n"/>
      <c r="L39" s="17" t="n"/>
      <c r="M39" s="17" t="n"/>
      <c r="N39" s="17" t="n"/>
      <c r="O39" s="17" t="n"/>
      <c r="P39" s="17" t="n"/>
      <c r="Q39" s="17" t="n"/>
      <c r="R39" s="17" t="n"/>
      <c r="S39" s="17" t="n"/>
      <c r="T39" s="17" t="n"/>
      <c r="U39" s="17" t="n"/>
      <c r="V39" s="17" t="n"/>
      <c r="W39" s="17" t="n"/>
      <c r="X39" s="17" t="n"/>
      <c r="Y39" s="17" t="n"/>
      <c r="Z39" s="17" t="n"/>
    </row>
    <row r="40" ht="165" customHeight="1" s="15">
      <c r="A40" s="35" t="inlineStr">
        <is>
          <t>AUD-030</t>
        </is>
      </c>
      <c r="B40" s="35" t="inlineStr">
        <is>
          <t>Medium</t>
        </is>
      </c>
      <c r="C40" s="35" t="inlineStr">
        <is>
          <t>Fixture chronology</t>
        </is>
      </c>
      <c r="D40" s="35" t="inlineStr">
        <is>
          <t>Apply corrected OVS fixtures; retain generated IDs and approved seed decisions. Finish broader seed harmonisation separately.</t>
        </is>
      </c>
      <c r="E40" s="35" t="inlineStr">
        <is>
          <t>Seed/documentation owner</t>
        </is>
      </c>
      <c r="F40" s="35" t="inlineStr">
        <is>
          <t>Affected design/seed verification</t>
        </is>
      </c>
      <c r="G40" s="35" t="inlineStr">
        <is>
          <t>Correction approved; implementation unverified</t>
        </is>
      </c>
      <c r="H40" s="35" t="inlineStr">
        <is>
          <t>SEED v1.3 §3.1; SEED-OPS v1.21 §11 D3/D4/D7/D8/D23</t>
        </is>
      </c>
      <c r="I40" s="17" t="n"/>
      <c r="J40" s="17" t="n"/>
      <c r="K40" s="17" t="n"/>
      <c r="L40" s="17" t="n"/>
      <c r="M40" s="17" t="n"/>
      <c r="N40" s="17" t="n"/>
      <c r="O40" s="17" t="n"/>
      <c r="P40" s="17" t="n"/>
      <c r="Q40" s="17" t="n"/>
      <c r="R40" s="17" t="n"/>
      <c r="S40" s="17" t="n"/>
      <c r="T40" s="17" t="n"/>
      <c r="U40" s="17" t="n"/>
      <c r="V40" s="17" t="n"/>
      <c r="W40" s="17" t="n"/>
      <c r="X40" s="17" t="n"/>
      <c r="Y40" s="17" t="n"/>
      <c r="Z40" s="17" t="n"/>
    </row>
    <row r="41" ht="165" customHeight="1" s="15">
      <c r="A41" s="35" t="inlineStr">
        <is>
          <t>AUD-031</t>
        </is>
      </c>
      <c r="B41" s="35" t="inlineStr">
        <is>
          <t>High</t>
        </is>
      </c>
      <c r="C41" s="35" t="inlineStr">
        <is>
          <t>Design readiness</t>
        </is>
      </c>
      <c r="D41" s="35" t="inlineStr">
        <is>
          <t>Complete EVL/TPR/PRC static sections first, then remaining changed owner views; record conformance matrices.</t>
        </is>
      </c>
      <c r="E41" s="35" t="inlineStr">
        <is>
          <t>Requirements/design owner</t>
        </is>
      </c>
      <c r="F41" s="35" t="inlineStr">
        <is>
          <t>Design handoff of affected views</t>
        </is>
      </c>
      <c r="G41" s="35" t="inlineStr">
        <is>
          <t>Open</t>
        </is>
      </c>
      <c r="H41" s="35" t="inlineStr">
        <is>
          <t>v0.5 design-readiness review; OVS v0.6 §14.1</t>
        </is>
      </c>
      <c r="I41" s="17" t="n"/>
      <c r="J41" s="17" t="n"/>
      <c r="K41" s="17" t="n"/>
      <c r="L41" s="17" t="n"/>
      <c r="M41" s="17" t="n"/>
      <c r="N41" s="17" t="n"/>
      <c r="O41" s="17" t="n"/>
      <c r="P41" s="17" t="n"/>
      <c r="Q41" s="17" t="n"/>
      <c r="R41" s="17" t="n"/>
      <c r="S41" s="17" t="n"/>
      <c r="T41" s="17" t="n"/>
      <c r="U41" s="17" t="n"/>
      <c r="V41" s="17" t="n"/>
      <c r="W41" s="17" t="n"/>
      <c r="X41" s="17" t="n"/>
      <c r="Y41" s="17" t="n"/>
      <c r="Z41" s="17" t="n"/>
    </row>
    <row r="42" ht="15" customHeight="1" s="15">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row>
    <row r="43" ht="15" customHeight="1" s="15">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row>
    <row r="44" ht="15" customHeight="1" s="15">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row>
    <row r="45" ht="15" customHeight="1" s="1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row>
    <row r="46" ht="15" customHeight="1" s="15">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row>
    <row r="47" ht="15" customHeight="1" s="15">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row>
    <row r="48" ht="15" customHeight="1" s="15">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row>
    <row r="49" ht="15" customHeight="1" s="15">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row>
    <row r="50" ht="15" customHeight="1" s="15">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row>
    <row r="51" ht="15" customHeight="1" s="15">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row>
    <row r="52" ht="15" customHeight="1" s="15">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row>
    <row r="53" ht="15" customHeight="1" s="15">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row>
    <row r="54" ht="15" customHeight="1" s="15">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row>
    <row r="55" ht="15" customHeight="1" s="1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row>
    <row r="56" ht="15" customHeight="1" s="15">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row>
    <row r="57" ht="15" customHeight="1" s="15">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row>
    <row r="58" ht="15" customHeight="1" s="15">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row>
    <row r="59" ht="15" customHeight="1" s="15">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row>
    <row r="60" ht="15" customHeight="1" s="15">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row>
    <row r="61" ht="15" customHeight="1" s="15">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row>
    <row r="62" ht="15" customHeight="1" s="15">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row>
    <row r="63" ht="15" customHeight="1" s="15">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row>
    <row r="64" ht="15" customHeight="1" s="15">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row>
    <row r="65" ht="15" customHeight="1" s="15">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row>
    <row r="66" ht="15" customHeight="1" s="15">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row>
    <row r="67" ht="15" customHeight="1" s="15">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row>
    <row r="68" ht="15" customHeight="1" s="15">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row>
    <row r="69" ht="15" customHeight="1" s="15">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row>
    <row r="70" ht="15" customHeight="1" s="15">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row>
    <row r="71" ht="15" customHeight="1" s="15">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row>
    <row r="72" ht="15" customHeight="1" s="15">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row>
    <row r="73" ht="15" customHeight="1" s="15">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row>
    <row r="74" ht="15" customHeight="1" s="15">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row>
    <row r="75" ht="15" customHeight="1" s="15">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row>
    <row r="76" ht="15" customHeight="1" s="15">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row>
    <row r="77" ht="15" customHeight="1" s="15">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row>
    <row r="78" ht="15" customHeight="1" s="15">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row>
    <row r="79" ht="15" customHeight="1" s="15">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row>
    <row r="80" ht="15" customHeight="1" s="15">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row>
    <row r="81" ht="15" customHeight="1" s="15">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row>
    <row r="82" ht="15" customHeight="1" s="15">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row>
    <row r="83" ht="15" customHeight="1" s="15">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row>
    <row r="84" ht="15" customHeight="1" s="15">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row>
    <row r="85" ht="15" customHeight="1" s="15">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row>
    <row r="86" ht="15" customHeight="1" s="15">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row>
    <row r="87" ht="15" customHeight="1" s="15">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row>
    <row r="88" ht="15" customHeight="1" s="15">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row>
    <row r="89" ht="15" customHeight="1" s="15">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row>
    <row r="90" ht="15" customHeight="1" s="15">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row>
    <row r="91" ht="15" customHeight="1" s="15">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row>
    <row r="92" ht="15" customHeight="1" s="15">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row>
    <row r="93" ht="15" customHeight="1" s="15">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row>
    <row r="94" ht="15" customHeight="1" s="15">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row>
    <row r="95" ht="15" customHeight="1" s="15">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row>
    <row r="96" ht="15" customHeight="1" s="15">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row>
    <row r="97" ht="15" customHeight="1" s="15">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row>
    <row r="98" ht="15" customHeight="1" s="15">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row>
    <row r="99" ht="15" customHeight="1" s="15">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row>
    <row r="100" ht="15" customHeight="1" s="15">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row>
    <row r="101" ht="15" customHeight="1" s="15">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row>
    <row r="102" ht="15" customHeight="1" s="15">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row>
    <row r="103" ht="15" customHeight="1" s="15">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row>
    <row r="104" ht="15" customHeight="1" s="15">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row>
    <row r="105" ht="15" customHeight="1" s="15">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row>
    <row r="106" ht="15" customHeight="1" s="15">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row>
    <row r="107" ht="15" customHeight="1" s="15">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row>
    <row r="108" ht="15" customHeight="1" s="15">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row>
    <row r="109" ht="15" customHeight="1" s="15">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row>
    <row r="110" ht="15" customHeight="1" s="15">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row>
    <row r="111" ht="15" customHeight="1" s="15">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row>
    <row r="112" ht="15" customHeight="1" s="15">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row>
    <row r="113" ht="15" customHeight="1" s="15">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row>
    <row r="114" ht="15" customHeight="1" s="15">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row>
    <row r="115" ht="15" customHeight="1" s="15">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row>
    <row r="116" ht="15" customHeight="1" s="15">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row>
    <row r="117" ht="15" customHeight="1" s="15">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row>
    <row r="118" ht="15" customHeight="1" s="15">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row>
    <row r="119" ht="15" customHeight="1" s="15">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row>
    <row r="120" ht="15" customHeight="1" s="15">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row>
    <row r="121" ht="15" customHeight="1" s="15">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row>
    <row r="122" ht="15" customHeight="1" s="15">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row>
    <row r="123" ht="15" customHeight="1" s="15">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row>
    <row r="124" ht="15" customHeight="1" s="15">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row>
    <row r="125" ht="15" customHeight="1" s="15">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row>
    <row r="126" ht="15" customHeight="1" s="15">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row>
    <row r="127" ht="15" customHeight="1" s="15">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row>
    <row r="128" ht="15" customHeight="1" s="15">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row>
    <row r="129" ht="15" customHeight="1" s="15">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row>
    <row r="130" ht="15" customHeight="1" s="15">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row>
    <row r="131" ht="15" customHeight="1" s="15">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row>
    <row r="132" ht="15" customHeight="1" s="15">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row>
    <row r="133" ht="15" customHeight="1" s="15">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row>
    <row r="134" ht="15" customHeight="1" s="15">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row>
    <row r="135" ht="15" customHeight="1" s="15">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row>
    <row r="136" ht="15" customHeight="1" s="15">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row>
    <row r="137" ht="15" customHeight="1" s="15">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row>
    <row r="138" ht="15" customHeight="1" s="15">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row>
    <row r="139" ht="15" customHeight="1" s="15">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row>
    <row r="140" ht="15" customHeight="1" s="15">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row>
    <row r="141" ht="15" customHeight="1" s="15">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row>
    <row r="142" ht="15" customHeight="1" s="15">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row>
    <row r="143" ht="15" customHeight="1" s="15">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row>
    <row r="144" ht="15" customHeight="1" s="15">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row>
    <row r="145" ht="15" customHeight="1" s="15">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row>
    <row r="146" ht="15" customHeight="1" s="15">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row>
    <row r="147" ht="15" customHeight="1" s="15">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row>
    <row r="148" ht="15" customHeight="1" s="15">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row>
    <row r="149" ht="15" customHeight="1" s="15">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row>
    <row r="150" ht="15" customHeight="1" s="15">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row>
    <row r="151" ht="15" customHeight="1" s="15">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row>
    <row r="152" ht="15" customHeight="1" s="15">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row>
    <row r="153" ht="15" customHeight="1" s="15">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row>
    <row r="154" ht="15" customHeight="1" s="15">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row>
    <row r="155" ht="15" customHeight="1" s="15">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row>
    <row r="156" ht="15" customHeight="1" s="15">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row>
    <row r="157" ht="15" customHeight="1" s="15">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row>
    <row r="158" ht="15" customHeight="1" s="15">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row>
    <row r="159" ht="15" customHeight="1" s="15">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row>
    <row r="160" ht="15" customHeight="1" s="15">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row>
    <row r="161" ht="15" customHeight="1" s="15">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row>
    <row r="162" ht="15" customHeight="1" s="15">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row>
    <row r="163" ht="15" customHeight="1" s="15">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row>
    <row r="164" ht="15" customHeight="1" s="15">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row>
    <row r="165" ht="15" customHeight="1" s="15">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row>
    <row r="166" ht="15" customHeight="1" s="15">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row>
    <row r="167" ht="15" customHeight="1" s="15">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row>
    <row r="168" ht="15" customHeight="1" s="15">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row>
    <row r="169" ht="15" customHeight="1" s="15">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row>
    <row r="170" ht="15" customHeight="1" s="15">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row>
    <row r="171" ht="15" customHeight="1" s="15">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row>
    <row r="172" ht="15" customHeight="1" s="15">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row>
    <row r="173" ht="15" customHeight="1" s="15">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row>
    <row r="174" ht="15" customHeight="1" s="15">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row>
    <row r="175" ht="15" customHeight="1" s="15">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row>
    <row r="176" ht="15" customHeight="1" s="15">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row>
    <row r="177" ht="15" customHeight="1" s="15">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row>
    <row r="178" ht="15" customHeight="1" s="15">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row>
    <row r="179" ht="15" customHeight="1" s="15">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row>
    <row r="180" ht="15" customHeight="1" s="15">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row>
    <row r="181" ht="15" customHeight="1" s="15">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row>
    <row r="182" ht="15" customHeight="1" s="15">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row>
    <row r="183" ht="15" customHeight="1" s="15">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row>
    <row r="184" ht="15" customHeight="1" s="15">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row>
    <row r="185" ht="15" customHeight="1" s="15">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row>
    <row r="186" ht="15" customHeight="1" s="15">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row>
    <row r="187" ht="15" customHeight="1" s="15">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row>
    <row r="188" ht="15" customHeight="1" s="15">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row>
    <row r="189" ht="15" customHeight="1" s="15">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row>
    <row r="190" ht="15" customHeight="1" s="15">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row>
    <row r="191" ht="15" customHeight="1" s="15">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row>
    <row r="192" ht="15" customHeight="1" s="15">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row>
    <row r="193" ht="15" customHeight="1" s="15">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row>
    <row r="194" ht="15" customHeight="1" s="15">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row>
    <row r="195" ht="15" customHeight="1" s="15">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row>
    <row r="196" ht="15" customHeight="1" s="15">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row>
    <row r="197" ht="15" customHeight="1" s="15">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row>
    <row r="198" ht="15" customHeight="1" s="15">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row>
    <row r="199" ht="15" customHeight="1" s="15">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row>
    <row r="200" ht="15" customHeight="1" s="15">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row>
    <row r="201" ht="15" customHeight="1" s="15">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row>
    <row r="202" ht="15" customHeight="1" s="15">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row>
    <row r="203" ht="15" customHeight="1" s="15">
      <c r="A203" s="17"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row>
  </sheetData>
  <mergeCells count="17">
    <mergeCell ref="A9:H9"/>
    <mergeCell ref="A4:H4"/>
    <mergeCell ref="C32:H32"/>
    <mergeCell ref="C33:H33"/>
    <mergeCell ref="A30:H30"/>
    <mergeCell ref="E6:F7"/>
    <mergeCell ref="C6:D7"/>
    <mergeCell ref="G6:H7"/>
    <mergeCell ref="A2:H2"/>
    <mergeCell ref="C5:D5"/>
    <mergeCell ref="A5:B5"/>
    <mergeCell ref="G5:H5"/>
    <mergeCell ref="E5:F5"/>
    <mergeCell ref="A6:B7"/>
    <mergeCell ref="C31:H31"/>
    <mergeCell ref="A1:H1"/>
    <mergeCell ref="C34:H34"/>
  </mergeCells>
  <conditionalFormatting sqref="B11:B28">
    <cfRule type="containsText" rank="0" priority="2" equalAverage="0" operator="containsText" aboveAverage="0" dxfId="0" text="Critical" percent="0" bottom="0">
      <formula>NOT(ISERROR(SEARCH("Critical",B11)))</formula>
    </cfRule>
    <cfRule type="containsText" rank="0" priority="3" equalAverage="0" operator="containsText" aboveAverage="0" dxfId="1" text="High" percent="0" bottom="0">
      <formula>NOT(ISERROR(SEARCH("High",B11)))</formula>
    </cfRule>
  </conditionalFormatting>
  <pageMargins left="0.7" right="0.7" top="0.75" bottom="0.75" header="0.3" footer="0.3"/>
</worksheet>
</file>

<file path=xl/worksheets/sheet2.xml><?xml version="1.0" encoding="utf-8"?>
<worksheet xmlns="http://schemas.openxmlformats.org/spreadsheetml/2006/main">
  <sheetPr>
    <tabColor rgb="FF4472C4"/>
    <outlinePr summaryBelow="1" summaryRight="1"/>
    <pageSetUpPr/>
  </sheetPr>
  <dimension ref="A1:Z200"/>
  <sheetViews>
    <sheetView showGridLines="0" workbookViewId="0">
      <pane xSplit="1" ySplit="5" topLeftCell="B6" activePane="bottomRight" state="frozen"/>
      <selection activeCell="A1" sqref="A1"/>
    </sheetView>
  </sheetViews>
  <sheetFormatPr baseColWidth="8" defaultColWidth="8.6796875" defaultRowHeight="15"/>
  <cols>
    <col width="15" customWidth="1" style="14" min="1" max="1"/>
    <col width="32" customWidth="1" style="14" min="2" max="2"/>
    <col width="10" customWidth="1" style="14" min="3" max="3"/>
    <col width="23" customWidth="1" style="14" min="4" max="4"/>
    <col width="20" customWidth="1" style="14" min="5" max="5"/>
    <col width="21" customWidth="1" style="14" min="6" max="6"/>
    <col width="14" customWidth="1" style="14" min="7" max="7"/>
    <col width="25" customWidth="1" style="14" min="8" max="8"/>
    <col width="18" customWidth="1" style="14" min="9" max="9"/>
    <col width="16" customWidth="1" style="14" min="10" max="10"/>
    <col width="14" customWidth="1" style="14" min="11" max="11"/>
    <col width="12" customWidth="1" style="14" min="12" max="12"/>
    <col width="42" customWidth="1" style="14" min="13" max="13"/>
    <col width="36" customWidth="1" style="14" min="14" max="14"/>
    <col width="42" customWidth="1" style="14" min="15" max="16"/>
    <col width="15" customWidth="1" style="15" min="17" max="17"/>
    <col width="65" customWidth="1" style="15" min="18" max="18"/>
  </cols>
  <sheetData>
    <row r="1" ht="37.5" customHeight="1" s="15">
      <c r="A1" s="16" t="inlineStr">
        <is>
          <t>Controlled documents</t>
        </is>
      </c>
      <c r="Q1" s="17" t="n"/>
      <c r="R1" s="17" t="n"/>
      <c r="S1" s="17" t="n"/>
      <c r="T1" s="17" t="n"/>
      <c r="U1" s="17" t="n"/>
      <c r="V1" s="17" t="n"/>
      <c r="W1" s="17" t="n"/>
      <c r="X1" s="17" t="n"/>
      <c r="Y1" s="17" t="n"/>
      <c r="Z1" s="17" t="n"/>
    </row>
    <row r="2" ht="33.75" customHeight="1" s="15">
      <c r="A2" s="18" t="inlineStr">
        <is>
          <t>Approved version set: 2026-10-11. Proposals up to 2026-10-11 are listed beside it. Design work remains open; CM and template walkthrough deferred.</t>
        </is>
      </c>
      <c r="Q2" s="17" t="n"/>
      <c r="R2" s="17" t="n"/>
      <c r="S2" s="17" t="n"/>
      <c r="T2" s="17" t="n"/>
      <c r="U2" s="17" t="n"/>
      <c r="V2" s="17" t="n"/>
      <c r="W2" s="17" t="n"/>
      <c r="X2" s="17" t="n"/>
      <c r="Y2" s="17" t="n"/>
      <c r="Z2" s="17" t="n"/>
    </row>
    <row r="3" ht="15" customHeight="1" s="15">
      <c r="A3" s="17" t="n"/>
      <c r="B3" s="17" t="n"/>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row>
    <row r="4" ht="15" customHeight="1" s="15">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row>
    <row r="5" ht="36" customHeight="1" s="15">
      <c r="A5" s="32" t="inlineStr">
        <is>
          <t>Document ID</t>
        </is>
      </c>
      <c r="B5" s="32" t="inlineStr">
        <is>
          <t>Title</t>
        </is>
      </c>
      <c r="C5" s="32" t="inlineStr">
        <is>
          <t>Version</t>
        </is>
      </c>
      <c r="D5" s="32" t="inlineStr">
        <is>
          <t>Module</t>
        </is>
      </c>
      <c r="E5" s="32" t="inlineStr">
        <is>
          <t>Category</t>
        </is>
      </c>
      <c r="F5" s="32" t="inlineStr">
        <is>
          <t>Requirement status</t>
        </is>
      </c>
      <c r="G5" s="32" t="inlineStr">
        <is>
          <t>Approval date</t>
        </is>
      </c>
      <c r="H5" s="32" t="inlineStr">
        <is>
          <t>Supersedes / basis</t>
        </is>
      </c>
      <c r="I5" s="32" t="inlineStr">
        <is>
          <t>Implementation</t>
        </is>
      </c>
      <c r="J5" s="32" t="inlineStr">
        <is>
          <t>Verification</t>
        </is>
      </c>
      <c r="K5" s="32" t="inlineStr">
        <is>
          <t>Release</t>
        </is>
      </c>
      <c r="L5" s="32" t="inlineStr">
        <is>
          <t>Normative</t>
        </is>
      </c>
      <c r="M5" s="32" t="inlineStr">
        <is>
          <t>Scope</t>
        </is>
      </c>
      <c r="N5" s="32" t="inlineStr">
        <is>
          <t>Dependencies</t>
        </is>
      </c>
      <c r="O5" s="32" t="inlineStr">
        <is>
          <t>Required action</t>
        </is>
      </c>
      <c r="P5" s="32" t="inlineStr">
        <is>
          <t>Source</t>
        </is>
      </c>
      <c r="Q5" s="38" t="inlineStr">
        <is>
          <t>Proposed version</t>
        </is>
      </c>
      <c r="R5" s="38" t="inlineStr">
        <is>
          <t>Proposed file</t>
        </is>
      </c>
      <c r="S5" s="17" t="n"/>
      <c r="T5" s="17" t="n"/>
      <c r="U5" s="17" t="n"/>
      <c r="V5" s="17" t="n"/>
      <c r="W5" s="17" t="n"/>
      <c r="X5" s="17" t="n"/>
      <c r="Y5" s="17" t="n"/>
      <c r="Z5" s="17" t="n"/>
    </row>
    <row r="6" ht="130" customHeight="1" s="15">
      <c r="A6" s="39" t="inlineStr">
        <is>
          <t>STR-CHG-001</t>
        </is>
      </c>
      <c r="B6" s="39" t="inlineStr">
        <is>
          <t>Clean Strategy Alignment</t>
        </is>
      </c>
      <c r="C6" s="39" t="inlineStr">
        <is>
          <t>1.9</t>
        </is>
      </c>
      <c r="D6" s="39" t="inlineStr">
        <is>
          <t>Strategy Alignment</t>
        </is>
      </c>
      <c r="E6" s="39" t="inlineStr">
        <is>
          <t>Module requirements</t>
        </is>
      </c>
      <c r="F6" s="39" t="inlineStr">
        <is>
          <t>Approved requirement</t>
        </is>
      </c>
      <c r="G6" s="40" t="n">
        <v>46298</v>
      </c>
      <c r="H6" s="39" t="inlineStr">
        <is>
          <t>v1.7 and earlier</t>
        </is>
      </c>
      <c r="I6" s="39" t="inlineStr">
        <is>
          <t>Not evidenced</t>
        </is>
      </c>
      <c r="J6" s="39" t="inlineStr">
        <is>
          <t>Not evidenced</t>
        </is>
      </c>
      <c r="K6" s="39" t="inlineStr">
        <is>
          <t>Not applicable</t>
        </is>
      </c>
      <c r="L6" s="39" t="inlineStr">
        <is>
          <t>Yes</t>
        </is>
      </c>
      <c r="M6" s="39" t="inlineStr">
        <is>
          <t>Strategy objectives and accepted alignment evidence consumed by Planning.</t>
        </is>
      </c>
      <c r="N6" s="39" t="inlineStr">
        <is>
          <t>KT-STD-001; AUTH-ADR-001</t>
        </is>
      </c>
      <c r="O6" s="39" t="inlineStr">
        <is>
          <t>Approved 3 October 2026. Complete outstanding design/implementation verification; CM and template walkthrough remain deferred.</t>
        </is>
      </c>
      <c r="P6" s="39" t="inlineStr">
        <is>
          <t>KenTender_STR-CHG-001_Clean_Strategy_Alignment_v1_9.md</t>
        </is>
      </c>
      <c r="Q6" s="35" t="n"/>
      <c r="R6" s="35" t="n"/>
      <c r="S6" s="17" t="n"/>
      <c r="T6" s="17" t="n"/>
      <c r="U6" s="17" t="n"/>
      <c r="V6" s="17" t="n"/>
      <c r="W6" s="17" t="n"/>
      <c r="X6" s="17" t="n"/>
      <c r="Y6" s="17" t="n"/>
      <c r="Z6" s="17" t="n"/>
    </row>
    <row r="7" ht="130" customHeight="1" s="15">
      <c r="A7" s="39" t="inlineStr">
        <is>
          <t>BUD-CHG-001</t>
        </is>
      </c>
      <c r="B7" s="39" t="inlineStr">
        <is>
          <t>Clean Budget and Funding</t>
        </is>
      </c>
      <c r="C7" s="39" t="inlineStr">
        <is>
          <t>1.12</t>
        </is>
      </c>
      <c r="D7" s="39" t="inlineStr">
        <is>
          <t>Budget and Funding</t>
        </is>
      </c>
      <c r="E7" s="39" t="inlineStr">
        <is>
          <t>Module requirements</t>
        </is>
      </c>
      <c r="F7" s="39" t="inlineStr">
        <is>
          <t>Approved requirement</t>
        </is>
      </c>
      <c r="G7" s="40" t="n">
        <v>46298</v>
      </c>
      <c r="H7" s="39" t="inlineStr">
        <is>
          <t>v1.10 approved 23 September 2026; v1.9 and earlier</t>
        </is>
      </c>
      <c r="I7" s="39" t="inlineStr">
        <is>
          <t>Not evidenced</t>
        </is>
      </c>
      <c r="J7" s="39" t="inlineStr">
        <is>
          <t>Not evidenced</t>
        </is>
      </c>
      <c r="K7" s="39" t="inlineStr">
        <is>
          <t>Not applicable</t>
        </is>
      </c>
      <c r="L7" s="39" t="inlineStr">
        <is>
          <t>Yes</t>
        </is>
      </c>
      <c r="M7" s="39" t="inlineStr">
        <is>
          <t>Funding ceilings, affordability, reservations and commitments, plus the Budget-owned receiving side of a Planning budget revision request. Budget remains separate from the statutory APP reservation denominator.</t>
        </is>
      </c>
      <c r="N7" s="39" t="inlineStr">
        <is>
          <t>PLN-CHG-001 v1.27; LAW-REG-001 v1.2; KT-STD-001 v1.8</t>
        </is>
      </c>
      <c r="O7" s="39" t="inlineStr">
        <is>
          <t>Approved 3 October 2026. Complete outstanding design/implementation verification; CM and template walkthrough remain deferred.</t>
        </is>
      </c>
      <c r="P7" s="39" t="inlineStr">
        <is>
          <t>KenTender_BUD-CHG-001_Clean_Budget_and_Funding_v1_12.md</t>
        </is>
      </c>
      <c r="Q7" s="35" t="n"/>
      <c r="R7" s="35" t="n"/>
      <c r="S7" s="17" t="n"/>
      <c r="T7" s="17" t="n"/>
      <c r="U7" s="17" t="n"/>
      <c r="V7" s="17" t="n"/>
      <c r="W7" s="17" t="n"/>
      <c r="X7" s="17" t="n"/>
      <c r="Y7" s="17" t="n"/>
      <c r="Z7" s="17" t="n"/>
    </row>
    <row r="8" ht="130" customHeight="1" s="15">
      <c r="A8" s="39" t="inlineStr">
        <is>
          <t>NDS-CHG-001</t>
        </is>
      </c>
      <c r="B8" s="39" t="inlineStr">
        <is>
          <t>Clean Departmental Needs</t>
        </is>
      </c>
      <c r="C8" s="39" t="inlineStr">
        <is>
          <t>1.17</t>
        </is>
      </c>
      <c r="D8" s="39" t="inlineStr">
        <is>
          <t>Departmental Needs</t>
        </is>
      </c>
      <c r="E8" s="39" t="inlineStr">
        <is>
          <t>Module requirements</t>
        </is>
      </c>
      <c r="F8" s="39" t="inlineStr">
        <is>
          <t>Approved requirement</t>
        </is>
      </c>
      <c r="G8" s="40" t="n">
        <v>46304</v>
      </c>
      <c r="H8" s="39" t="inlineStr">
        <is>
          <t>v1.16 (approved 3 October 2026, retained as history)</t>
        </is>
      </c>
      <c r="I8" s="39" t="inlineStr">
        <is>
          <t>Not evidenced</t>
        </is>
      </c>
      <c r="J8" s="39" t="inlineStr">
        <is>
          <t>Not evidenced</t>
        </is>
      </c>
      <c r="K8" s="39" t="inlineStr">
        <is>
          <t>Not applicable</t>
        </is>
      </c>
      <c r="L8" s="39" t="inlineStr">
        <is>
          <t>Yes</t>
        </is>
      </c>
      <c r="M8" s="39" t="inlineStr">
        <is>
          <t>Simple need capture, review and acceptance; consultation is optional and is not a gate. From v1.17 the Author enters one required estimated total cost, frozen with the revision and shown at review; Budget Line, funding source and currency stay out of Needs.</t>
        </is>
      </c>
      <c r="N8" s="39" t="inlineStr">
        <is>
          <t>PLN-CHG-001 v1.30; KT-STD-001</t>
        </is>
      </c>
      <c r="O8" s="39" t="inlineStr">
        <is>
          <t>Approved 9 October 2026 (v1.17: estimated total cost on the Need). Complete outstanding design/implementation verification; CM and template walkthrough remain deferred.</t>
        </is>
      </c>
      <c r="P8" s="39" t="inlineStr">
        <is>
          <t>KenTender_NDS-CHG-001_Clean_Departmental_Needs_v1_17.md</t>
        </is>
      </c>
      <c r="Q8" s="35" t="inlineStr">
        <is>
          <t>1.16</t>
        </is>
      </c>
      <c r="R8" s="35" t="inlineStr">
        <is>
          <t>KenTender_NDS-CHG-001_Clean_Departmental_Needs_v1_16.md</t>
        </is>
      </c>
      <c r="S8" s="17" t="n"/>
      <c r="T8" s="17" t="n"/>
      <c r="U8" s="17" t="n"/>
      <c r="V8" s="17" t="n"/>
      <c r="W8" s="17" t="n"/>
      <c r="X8" s="17" t="n"/>
      <c r="Y8" s="17" t="n"/>
      <c r="Z8" s="17" t="n"/>
    </row>
    <row r="9" ht="130" customHeight="1" s="15">
      <c r="A9" s="39" t="inlineStr">
        <is>
          <t>PLN-CHG-001</t>
        </is>
      </c>
      <c r="B9" s="39" t="inlineStr">
        <is>
          <t>Clean Procurement Planning</t>
        </is>
      </c>
      <c r="C9" s="39" t="inlineStr">
        <is>
          <t>1.31</t>
        </is>
      </c>
      <c r="D9" s="39" t="inlineStr">
        <is>
          <t>Procurement Planning</t>
        </is>
      </c>
      <c r="E9" s="39" t="inlineStr">
        <is>
          <t>Module requirements</t>
        </is>
      </c>
      <c r="F9" s="39" t="inlineStr">
        <is>
          <t>Approved requirement</t>
        </is>
      </c>
      <c r="G9" s="40" t="n">
        <v>46304</v>
      </c>
      <c r="H9" s="39" t="inlineStr">
        <is>
          <t>v1.30 (approved 9 October 2026 with v1.31); v1.29 approved 3 October 2026; v1.27 and earlier as before</t>
        </is>
      </c>
      <c r="I9" s="39" t="inlineStr">
        <is>
          <t>Not implemented</t>
        </is>
      </c>
      <c r="J9" s="39" t="inlineStr">
        <is>
          <t>Not evidenced</t>
        </is>
      </c>
      <c r="K9" s="39" t="inlineStr">
        <is>
          <t>Not applicable</t>
        </is>
      </c>
      <c r="L9" s="39" t="inlineStr">
        <is>
          <t>Yes</t>
        </is>
      </c>
      <c r="M9" s="39" t="inlineStr">
        <is>
          <t>Complete Planning authority including the current-complete-APP reservation denominator, next-step and journey contract, corrected funding-request blockers, Planning-side budget revision request, hand-off register and Purchase-ready-for-requisition item. From v1.30 a Need-origin departmental plan entry starts from the accepted Need's estimated total cost and Planning shows any change from it; from v1.31 the Procurement Planner records the Treasury submission and entity-website publication in one Confirm plan publication action, and the system then runs the existing activation checks.</t>
        </is>
      </c>
      <c r="N9" s="39" t="inlineStr">
        <is>
          <t>STR-CHG-001 v1.8; BUD-CHG-001 v1.11; NDS-CHG-001 v1.17; CFG-CHG-002 v0.13+; REQ-CHG-001 v1.12; KT-STD-001 v1.8</t>
        </is>
      </c>
      <c r="O9" s="39" t="inlineStr">
        <is>
          <t>Approved 9 October 2026 (v1.30: estimate prefill from the Need; v1.31: Planner confirms publication). Complete outstanding design/implementation verification; CM and template walkthrough remain deferred.</t>
        </is>
      </c>
      <c r="P9" s="39" t="inlineStr">
        <is>
          <t>KenTender_PLN-CHG-001_Clean_Procurement_Planning_v1_31.md</t>
        </is>
      </c>
      <c r="Q9" s="35" t="inlineStr">
        <is>
          <t>1.29</t>
        </is>
      </c>
      <c r="R9" s="35" t="inlineStr">
        <is>
          <t>KenTender_PLN-CHG-001_Clean_Procurement_Planning_v1_29.md</t>
        </is>
      </c>
      <c r="S9" s="17" t="n"/>
      <c r="T9" s="17" t="n"/>
      <c r="U9" s="17" t="n"/>
      <c r="V9" s="17" t="n"/>
      <c r="W9" s="17" t="n"/>
      <c r="X9" s="17" t="n"/>
      <c r="Y9" s="17" t="n"/>
      <c r="Z9" s="17" t="n"/>
    </row>
    <row r="10" ht="130" customHeight="1" s="15">
      <c r="A10" s="39" t="inlineStr">
        <is>
          <t>REQ-CHG-001</t>
        </is>
      </c>
      <c r="B10" s="39" t="inlineStr">
        <is>
          <t>Structured Procurement Requisitions</t>
        </is>
      </c>
      <c r="C10" s="39" t="inlineStr">
        <is>
          <t>1.18</t>
        </is>
      </c>
      <c r="D10" s="39" t="inlineStr">
        <is>
          <t>Procurement Requisitions</t>
        </is>
      </c>
      <c r="E10" s="39" t="inlineStr">
        <is>
          <t>Module requirements</t>
        </is>
      </c>
      <c r="F10" s="39" t="inlineStr">
        <is>
          <t>Approved requirement</t>
        </is>
      </c>
      <c r="G10" s="40" t="n">
        <v>46304</v>
      </c>
      <c r="H10" s="39" t="inlineStr">
        <is>
          <t>v1.17 never approved on its own (its content is carried in v1.18); v1.16 approved 9 October 2026; v1.15 approved 9 October 2026; v1.14 approved 3 October 2026; v1.12 approved 25 September 2026; v1.11 approved 24 September 2026; v1.9 and earlier; v1.10 remains withdrawn</t>
        </is>
      </c>
      <c r="I10" s="39" t="inlineStr">
        <is>
          <t>Not evidenced</t>
        </is>
      </c>
      <c r="J10" s="39" t="inlineStr">
        <is>
          <t>Not evidenced</t>
        </is>
      </c>
      <c r="K10" s="39" t="inlineStr">
        <is>
          <t>Not applicable</t>
        </is>
      </c>
      <c r="L10" s="39" t="inlineStr">
        <is>
          <t>Yes</t>
        </is>
      </c>
      <c r="M10" s="39" t="inlineStr">
        <is>
          <t>Structured requisition preparation, Planning-created Purchase ready for requisition hand-off, Budget reservation at authorisation and authorised handoff to Tenders.</t>
        </is>
      </c>
      <c r="N10" s="39" t="inlineStr">
        <is>
          <t>PLN-CHG-001 v1.27; BUD-CHG-001 v1.11; TPR-CHG-001; STD-TPL-001; STD-STD-001 v1.1</t>
        </is>
      </c>
      <c r="O10" s="39" t="inlineStr">
        <is>
          <t>Approved 9 October 2026 (v1.18: requirement rows store exact item ids, per-item proposals, handoff 1.5; carries v1.17 presentation change; v1.16: dialog action reads Add item / Add N items; v1.15: items entered once, requested quantity derived, estimated total per source, frozen evidence, Goods template boundary). Build, artboards, seed and verification outstanding; automatic cost estimation deferred; CM and template walkthrough remain deferred.</t>
        </is>
      </c>
      <c r="P10" s="39" t="inlineStr">
        <is>
          <t>KenTender_REQ-CHG-001_Structured_Procurement_Requisitions_v1_18.md</t>
        </is>
      </c>
      <c r="Q10" s="35" t="inlineStr">
        <is>
          <t>1.14</t>
        </is>
      </c>
      <c r="R10" s="35" t="inlineStr">
        <is>
          <t>KenTender_REQ-CHG-001_Structured_Procurement_Requisitions_v1_14.md</t>
        </is>
      </c>
      <c r="S10" s="17" t="n"/>
      <c r="T10" s="17" t="n"/>
      <c r="U10" s="17" t="n"/>
      <c r="V10" s="17" t="n"/>
      <c r="W10" s="17" t="n"/>
      <c r="X10" s="17" t="n"/>
      <c r="Y10" s="17" t="n"/>
      <c r="Z10" s="17" t="n"/>
    </row>
    <row r="11" ht="130" customHeight="1" s="15">
      <c r="A11" s="39" t="inlineStr">
        <is>
          <t>CFG-CHG-002</t>
        </is>
      </c>
      <c r="B11" s="39" t="inlineStr">
        <is>
          <t>Site Configuration and System Setup</t>
        </is>
      </c>
      <c r="C11" s="39" t="inlineStr">
        <is>
          <t>0.19</t>
        </is>
      </c>
      <c r="D11" s="39" t="inlineStr">
        <is>
          <t>System Setup</t>
        </is>
      </c>
      <c r="E11" s="39" t="inlineStr">
        <is>
          <t>Module requirements</t>
        </is>
      </c>
      <c r="F11" s="39" t="inlineStr">
        <is>
          <t>Approved requirement</t>
        </is>
      </c>
      <c r="G11" s="40" t="n">
        <v>46303</v>
      </c>
      <c r="H11" s="39" t="inlineStr">
        <is>
          <t>v0.18 on approval; v0.15; prior approved v0.13 retained</t>
        </is>
      </c>
      <c r="I11" s="39" t="inlineStr">
        <is>
          <t>Planned</t>
        </is>
      </c>
      <c r="J11" s="39" t="inlineStr">
        <is>
          <t>Not evidenced</t>
        </is>
      </c>
      <c r="K11" s="39" t="inlineStr">
        <is>
          <t>Not applicable</t>
        </is>
      </c>
      <c r="L11" s="39" t="inlineStr">
        <is>
          <t>Yes</t>
        </is>
      </c>
      <c r="M11" s="39" t="inlineStr">
        <is>
          <t>Site, responsibilities, procurement rules, schedules, STD Templates inspection and supplier portal operating settings. v0.19 adds the maintenance of the staff home organisation unit (one command, two reads, a change event, audit).</t>
        </is>
      </c>
      <c r="N11" s="39" t="inlineStr">
        <is>
          <t>AUTH-ADR-001 v1.12; PLN-CHG-001; TPR-CHG-001; BDS-CHG-001; STD-TPL-001; EVL-CHG-001 v0.7 (consumer)</t>
        </is>
      </c>
      <c r="O11" s="39" t="inlineStr">
        <is>
          <t>Approved 8 October 2026 (v0.19). Complete outstanding design/implementation verification; CM and template walkthrough remain deferred.</t>
        </is>
      </c>
      <c r="P11" s="39" t="inlineStr">
        <is>
          <t>KenTender_CFG-CHG-002_Site_Configuration_and_System_Setup_v0_19.md</t>
        </is>
      </c>
      <c r="Q11" s="35" t="n"/>
      <c r="R11" s="35" t="n"/>
      <c r="S11" s="17" t="n"/>
      <c r="T11" s="17" t="n"/>
      <c r="U11" s="17" t="n"/>
      <c r="V11" s="17" t="n"/>
      <c r="W11" s="17" t="n"/>
      <c r="X11" s="17" t="n"/>
      <c r="Y11" s="17" t="n"/>
      <c r="Z11" s="17" t="n"/>
    </row>
    <row r="12" ht="130" customHeight="1" s="15">
      <c r="A12" s="39" t="inlineStr">
        <is>
          <t>TPR-CHG-001</t>
        </is>
      </c>
      <c r="B12" s="39" t="inlineStr">
        <is>
          <t>Tenders</t>
        </is>
      </c>
      <c r="C12" s="39" t="inlineStr">
        <is>
          <t>0.20</t>
        </is>
      </c>
      <c r="D12" s="39" t="inlineStr">
        <is>
          <t>Tender Preparation and Publication</t>
        </is>
      </c>
      <c r="E12" s="39" t="inlineStr">
        <is>
          <t>Module requirements</t>
        </is>
      </c>
      <c r="F12" s="39" t="inlineStr">
        <is>
          <t>Approved requirement</t>
        </is>
      </c>
      <c r="G12" s="40" t="n">
        <v>46306</v>
      </c>
      <c r="H12" s="39" t="inlineStr">
        <is>
          <t>v0.17; v0.18 and v0.19 proposals carried in full; prior approvals retained</t>
        </is>
      </c>
      <c r="I12" s="39" t="inlineStr">
        <is>
          <t>Planned</t>
        </is>
      </c>
      <c r="J12" s="39" t="inlineStr">
        <is>
          <t>Not evidenced</t>
        </is>
      </c>
      <c r="K12" s="39" t="inlineStr">
        <is>
          <t>Not applicable</t>
        </is>
      </c>
      <c r="L12" s="39" t="inlineStr">
        <is>
          <t>Yes</t>
        </is>
      </c>
      <c r="M12" s="39" t="inlineStr">
        <is>
          <t>Approved Tender preparation, approval, publication, clarifications, addenda, cancellation, exact bound STD-release lifecycle including published Superseded/Withdrawn behavior, and KT-STD-001 v1.8 journey guidance.</t>
        </is>
      </c>
      <c r="N12" s="39" t="inlineStr">
        <is>
          <t>REQ-CHG-001 v1.12; CFG-CHG-002 v0.16; STD-TPL-001 v0.10; STD-TPL-IMP-001 v1.1; BDS-CHG-001 v0.8; BOP-CHG-001 v0.10 and PRC-CHG-001 v0.9 proposed for post-close cancellation; Award-status owner pending</t>
        </is>
      </c>
      <c r="O12" s="39" t="inlineStr">
        <is>
          <t>Approved 3 October 2026. Complete outstanding design/implementation verification; CM and template walkthrough remain deferred. v0.19 proposed 10 October 2026: the Tender-stated tender-security submission method and original delivery (section 5.2, section 23) and the explicit-review read for Tenders published without them; carries the v0.18 Review digests change. The approved baseline is unchanged until the Project Owner approves v0.19. v0.20 proposed 11 October 2026: three submission methods, the explicit update of an unpublished Draft to the new template release, amendment of the statements by the existing addendum and an auditable correction (section 24); carries v0.19 and v0.18. The approved baseline is unchanged until the Project Owner approves v0.20. Approved 2026-10-11 (v0.20): Project Owner, 11 October 2026: “Mark the documents as approved”, answering the report of the proposed set BDS-CHG-001 v0.16, TPR-CHG-001 v0.20, STD-TPL-001 v0.17, BOP-CHG-001 v0.15, TRUST-ADR-001 v0.6, AUTH-ADR-001 v1.15, SEED-002 v0.7 and TRUST-OPS-001 v0.1. The proposals each carries in full are approved with it. Approval is not evidence of implementation, verification or release.</t>
        </is>
      </c>
      <c r="P12" s="39" t="inlineStr">
        <is>
          <t>KenTender_TPR-CHG-001_Tenders_v0_20.md</t>
        </is>
      </c>
      <c r="Q12" s="35" t="n"/>
      <c r="R12" s="35" t="n"/>
      <c r="S12" s="17" t="n"/>
      <c r="T12" s="17" t="n"/>
      <c r="U12" s="17" t="n"/>
      <c r="V12" s="17" t="n"/>
      <c r="W12" s="17" t="n"/>
      <c r="X12" s="17" t="n"/>
      <c r="Y12" s="17" t="n"/>
      <c r="Z12" s="17" t="n"/>
    </row>
    <row r="13" ht="130" customHeight="1" s="15">
      <c r="A13" s="39" t="inlineStr">
        <is>
          <t>BDS-CHG-001</t>
        </is>
      </c>
      <c r="B13" s="39" t="inlineStr">
        <is>
          <t>Supplier Portal and Electronic Bid Submission</t>
        </is>
      </c>
      <c r="C13" s="39" t="inlineStr">
        <is>
          <t>0.16</t>
        </is>
      </c>
      <c r="D13" s="39" t="inlineStr">
        <is>
          <t>Supplier/Bidder Workspace and Bid Submission</t>
        </is>
      </c>
      <c r="E13" s="39" t="inlineStr">
        <is>
          <t>Module requirements</t>
        </is>
      </c>
      <c r="F13" s="39" t="inlineStr">
        <is>
          <t>Approved requirement</t>
        </is>
      </c>
      <c r="G13" s="40" t="n">
        <v>46306</v>
      </c>
      <c r="H13" s="39" t="inlineStr">
        <is>
          <t>v0.11; v0.12 to v0.15 proposals carried in full; prior approvals retained</t>
        </is>
      </c>
      <c r="I13" s="39" t="inlineStr">
        <is>
          <t>In progress</t>
        </is>
      </c>
      <c r="J13" s="39" t="inlineStr">
        <is>
          <t>Pending</t>
        </is>
      </c>
      <c r="K13" s="39" t="inlineStr">
        <is>
          <t>Blocked</t>
        </is>
      </c>
      <c r="L13" s="39" t="inlineStr">
        <is>
          <t>Yes</t>
        </is>
      </c>
      <c r="M13" s="39" t="inlineStr">
        <is>
          <t>Public discovery, supplier Account, structured Goods/IT bid preparation, signature, receipt, replacement and sealed Bid Opening handoff, with actor-specific guidance and bound STD-release controls.</t>
        </is>
      </c>
      <c r="N13" s="39" t="inlineStr">
        <is>
          <t>TPR-CHG-001 v0.13; STD-TPL-001 v0.10; STD-TPL-IMP-001 v1.1; CFG-CHG-002 v0.16; AUTH-ADR-001 v1.10; KT-STD-001 v1.8; G1-REG-001 v1.1</t>
        </is>
      </c>
      <c r="O13" s="39" t="inlineStr">
        <is>
          <t>Approved 3 October 2026. Complete outstanding design/implementation verification; CM and template walkthrough remain deferred. v0.13 proposed 10 October 2026 (supersedes the v0.12 proposal): test notices withdrawn from sections 5.10 and 15.1. v0.14 proposed 10 October 2026: tender-security intake duty (explicit, Tender-scoped, assigned by the Head of Procurement Function), approved separation policy, limited security-intake exception and independence from bid submission, matching after the opening boundary, sealed records closed to technical accounts, and the explicit electronic security journey with issuer verification; carries the v0.12 multi-line goods correction and the v0.13 test-notice withdrawal. v0.11 remains the approved baseline until the Project Owner approves v0.14. v0.15 proposed 10 October 2026: supplier-facing security status wording (Original received, Original receipt not yet recorded, Issuer verification pending), the Tender-stated submission method and original delivery, and emergency access to sealed contents recorded as production-readiness item PR-001; carries v0.14 in full. The approved baseline is unchanged until the Project Owner approves v0.15. v0.16 proposed 11 October 2026: the three submission methods and the evidence each requires, a pending issuer response that blocks nothing, the auditable correction and the addendum for the Tender’s security statements, and incident notices that never link to a sealed record; carries v0.15 in full. The approved baseline is unchanged until the Project Owner approves v0.16. Approved 2026-10-11 (v0.16): Project Owner, 11 October 2026: “Mark the documents as approved”, answering the report of the proposed set BDS-CHG-001 v0.16, TPR-CHG-001 v0.20, STD-TPL-001 v0.17, BOP-CHG-001 v0.15, TRUST-ADR-001 v0.6, AUTH-ADR-001 v1.15, SEED-002 v0.7 and TRUST-OPS-001 v0.1. The proposals each carries in full are approved with it. Approval is not evidence of implementation, verification or release.</t>
        </is>
      </c>
      <c r="P13" s="39" t="inlineStr">
        <is>
          <t>KenTender_BDS-CHG-001_Supplier_and_Electronic_Bid_Submission_v0_16.md</t>
        </is>
      </c>
      <c r="Q13" s="35" t="n"/>
      <c r="R13" s="35" t="n"/>
      <c r="S13" s="17" t="n"/>
      <c r="T13" s="17" t="n"/>
      <c r="U13" s="17" t="n"/>
      <c r="V13" s="17" t="n"/>
      <c r="W13" s="17" t="n"/>
      <c r="X13" s="17" t="n"/>
      <c r="Y13" s="17" t="n"/>
      <c r="Z13" s="17" t="n"/>
    </row>
    <row r="14" ht="43.5" customHeight="1" s="15">
      <c r="A14" s="17" t="inlineStr">
        <is>
          <t>STD-TPL-001</t>
        </is>
      </c>
      <c r="B14" s="27" t="inlineStr">
        <is>
          <t>IT Equipment Tender Template Curation and Release Pack</t>
        </is>
      </c>
      <c r="C14" s="17" t="inlineStr">
        <is>
          <t>0.17</t>
        </is>
      </c>
      <c r="D14" s="27" t="inlineStr">
        <is>
          <t>STD Templates</t>
        </is>
      </c>
      <c r="E14" s="27" t="inlineStr">
        <is>
          <t>Template standard</t>
        </is>
      </c>
      <c r="F14" s="27" t="inlineStr">
        <is>
          <t>Approved requirement</t>
        </is>
      </c>
      <c r="G14" s="33" t="n">
        <v>46306</v>
      </c>
      <c r="H14" s="27" t="inlineStr">
        <is>
          <t>v0.15; v0.16 proposal carried in full; v0.14 proposed 2 October 2026 and never approved on its own (v0.15 carried it forward); v0.13 approved 27 September 2026; v0.12 approved 26 September 2026</t>
        </is>
      </c>
      <c r="I14" s="27" t="inlineStr">
        <is>
          <t>Planned</t>
        </is>
      </c>
      <c r="J14" s="27" t="inlineStr">
        <is>
          <t>Pending</t>
        </is>
      </c>
      <c r="K14" s="27" t="inlineStr">
        <is>
          <t>Candidate</t>
        </is>
      </c>
      <c r="L14" s="17" t="inlineStr">
        <is>
          <t>Yes</t>
        </is>
      </c>
      <c r="M14" s="27" t="inlineStr">
        <is>
          <t>Controlled template content and construction, installed integrity, administrative inspection and Administrator On/Off switch for new Tender binding. v0.12 and v0.13 add, from template release 1.2, the first supplier task wording, supplied values, label parameters, the joint-venture member composition, the tender security amount and expiry response and per-obligation warranty/support responses. v0.14 and v0.15 add, from template releases 1.3 and 1.4, content-quality checks and the official wording, the table control, and each Tenderer's business profile held on its supplier Account and copied into each bid per entity.</t>
        </is>
      </c>
      <c r="N14" s="27" t="inlineStr">
        <is>
          <t>KT-STD-001 v1.8; REQ-CHG-001 v1.12; TPR-CHG-001 v0.11; BDS-CHG-001 v0.7 and v0.8; STD-TPL-IMP-001 v1.0; CFG-CHG-002 v0.16 (as cited in v0.13; see AUD-022)</t>
        </is>
      </c>
      <c r="O14" s="27" t="inlineStr">
        <is>
          <t>Approved v0.15 source confirmed. Apply scoped OVS amendment in impact schedule at next coordinated successor; numbering awaits separate walkthrough rebase. No new template successor allocated. v0.16 proposed 10 October 2026: the published tender-security facts submission_method and original_delivery (section 18.8); a successor template release for the conditional response fields is owed. The approved baseline is unchanged until the Project Owner approves v0.16. v0.17 proposed 11 October 2026: release 1.5: conditional tender-security evidence by the Tender’s submission method (section 18.9); carries v0.16. The approved baseline is unchanged until the Project Owner approves v0.17. Approved 2026-10-11 (v0.17): Project Owner, 11 October 2026: “Mark the documents as approved”, answering the report of the proposed set BDS-CHG-001 v0.16, TPR-CHG-001 v0.20, STD-TPL-001 v0.17, BOP-CHG-001 v0.15, TRUST-ADR-001 v0.6, AUTH-ADR-001 v1.15, SEED-002 v0.7 and TRUST-OPS-001 v0.1. The proposals each carries in full are approved with it. Approval is not evidence of implementation, verification or release.</t>
        </is>
      </c>
      <c r="P14" s="27" t="inlineStr">
        <is>
          <t>KenTender_STD-TPL-001_IT_Equipment_Tender_Template_Curation_and_Release_Pack_v0_17.md</t>
        </is>
      </c>
      <c r="Q14" s="35" t="n"/>
      <c r="R14" s="35" t="n"/>
      <c r="S14" s="17" t="n"/>
      <c r="T14" s="17" t="n"/>
      <c r="U14" s="17" t="n"/>
      <c r="V14" s="17" t="n"/>
      <c r="W14" s="17" t="n"/>
      <c r="X14" s="17" t="n"/>
      <c r="Y14" s="17" t="n"/>
      <c r="Z14" s="17" t="n"/>
    </row>
    <row r="15" ht="43.5" customHeight="1" s="15">
      <c r="A15" s="17" t="inlineStr">
        <is>
          <t>STD-TPL-IMP-001</t>
        </is>
      </c>
      <c r="B15" s="27" t="inlineStr">
        <is>
          <t>Installed STD Template Runtime</t>
        </is>
      </c>
      <c r="C15" s="17" t="inlineStr">
        <is>
          <t>1.1</t>
        </is>
      </c>
      <c r="D15" s="27" t="inlineStr">
        <is>
          <t>STD Templates</t>
        </is>
      </c>
      <c r="E15" s="27" t="inlineStr">
        <is>
          <t>Implementation authority</t>
        </is>
      </c>
      <c r="F15" s="27" t="inlineStr">
        <is>
          <t>Approved requirement</t>
        </is>
      </c>
      <c r="G15" s="33" t="n">
        <v>46291</v>
      </c>
      <c r="H15" s="27" t="inlineStr">
        <is>
          <t>v1.0 proposed but never approved; v0.2 historical</t>
        </is>
      </c>
      <c r="I15" s="27" t="inlineStr">
        <is>
          <t>Planned</t>
        </is>
      </c>
      <c r="J15" s="27" t="inlineStr">
        <is>
          <t>Not started</t>
        </is>
      </c>
      <c r="K15" s="27" t="inlineStr">
        <is>
          <t>Not applicable</t>
        </is>
      </c>
      <c r="L15" s="17" t="inlineStr">
        <is>
          <t>Yes</t>
        </is>
      </c>
      <c r="M15" s="27" t="inlineStr">
        <is>
          <t>Immutable installed-release runtime, verified installation, shared compiler, renderer adapters, inspection and deployment-only per-site On/Off switch.</t>
        </is>
      </c>
      <c r="N15" s="27" t="inlineStr">
        <is>
          <t>STD-TPL-001 v0.10; TPR-CHG-001 v0.12; BDS-CHG-001 v0.7; AUTH-ADR-001 v1.10; KT-STD-001 v1.8</t>
        </is>
      </c>
      <c r="O15" s="27" t="inlineStr">
        <is>
          <t>Implement approved v1.1; reconcile TPR, REQ, BDS and Gate 1 references to OD5. The bundle remains uninstalled and unverified.</t>
        </is>
      </c>
      <c r="P15" s="27" t="inlineStr">
        <is>
          <t>KenTender_STD-TPL-IMP-001_Installed_STD_Template_Runtime_v1_1.md</t>
        </is>
      </c>
      <c r="Q15" s="35" t="n"/>
      <c r="R15" s="35" t="n"/>
      <c r="S15" s="17" t="n"/>
      <c r="T15" s="17" t="n"/>
      <c r="U15" s="17" t="n"/>
      <c r="V15" s="17" t="n"/>
      <c r="W15" s="17" t="n"/>
      <c r="X15" s="17" t="n"/>
      <c r="Y15" s="17" t="n"/>
      <c r="Z15" s="17" t="n"/>
    </row>
    <row r="16" ht="130" customHeight="1" s="15">
      <c r="A16" s="39" t="inlineStr">
        <is>
          <t>KT-STD-001</t>
        </is>
      </c>
      <c r="B16" s="39" t="inlineStr">
        <is>
          <t>Document, Design and Verification Standards</t>
        </is>
      </c>
      <c r="C16" s="39" t="inlineStr">
        <is>
          <t>1.29</t>
        </is>
      </c>
      <c r="D16" s="39" t="inlineStr">
        <is>
          <t>All</t>
        </is>
      </c>
      <c r="E16" s="39" t="inlineStr">
        <is>
          <t>Cross-cutting standard</t>
        </is>
      </c>
      <c r="F16" s="39" t="inlineStr">
        <is>
          <t>Approved requirement</t>
        </is>
      </c>
      <c r="G16" s="40" t="n">
        <v>46304</v>
      </c>
      <c r="H16" s="39" t="inlineStr">
        <is>
          <t>v1.28 on approval; v1.27 on approval; v1.26 on approval; v1.25 on approval; v1.24 on approval; v1.23, v1.22, v1.21 and v1.15 were earlier approved baselines</t>
        </is>
      </c>
      <c r="I16" s="39" t="inlineStr">
        <is>
          <t>Not applicable</t>
        </is>
      </c>
      <c r="J16" s="39" t="inlineStr">
        <is>
          <t>Passed</t>
        </is>
      </c>
      <c r="K16" s="39" t="inlineStr">
        <is>
          <t>Not applicable</t>
        </is>
      </c>
      <c r="L16" s="39" t="inlineStr">
        <is>
          <t>Yes</t>
        </is>
      </c>
      <c r="M16" s="39" t="inlineStr">
        <is>
          <t>v1.29 (approved 9 October 2026): §2.4 date field hover edge — a .date-field wrapper takes the hover outline #6b7690 unless disabled (aria-disabled) or focused within. v1.28 (approved 9 October 2026): §2.4 states the KenTender field outline colour (#8590a6, hover #6b7690) and a 4px field corner (--radius-field); buttons, the segmented control and notice banners stay 2px; the secondary button shares the field outline colours. v1.27 (approved 8 October 2026): fixture register only — Charles Mutiso is the evaluation secretary by office and Brian Wafula the delegate. v1.26 (approved 8 October 2026): fixture register only — units OU-MOH-ICT (ICT) and OU-MOH-FIN (Finance) in section 8.2 and the home organisation units of section 8.3A. v1.25 (approved 6 October 2026): white input fill for editable fields in section 2.4. v1.24 (approved 6 October 2026): KenTender corner and control values in section 2.4 (controls and notice banners 2px, containers 4px, status chips 6px). v1.23 (approved 6 October 2026): journey position figure, compact tracker and blocked next-step shape (sections 2.9.1 to 2.9.3). v1.22 (approved 4 October 2026): Frappe v16 surfaces, one bordered white sheet on a neutral ground, the Home and Analytics archetypes; earlier content retained. Current cross-cutting standard, including plain language, minimum steps, Scheduled next step and actor/state/event conformance; v1.11 adds the §8.3 fixture actors Daniel Otieno (technical operator) and Jane Wanjiku (public observer), and v1.12 adds Nadia Kamau (release operator); retains earlier design and verification rules. v1.14 adds eight supplier people: Afya's Mary Wanjiku and David Ouma, and the people of Jirani, Pwani and Mlima.</t>
        </is>
      </c>
      <c r="N16" s="39" t="inlineStr">
        <is>
          <t>Workflow Guidance Standard; all controlled change documents</t>
        </is>
      </c>
      <c r="O16" s="39" t="inlineStr">
        <is>
          <t>Approved 9 October 2026 (v1.29); the design-system pack was updated for DS-REV-006 and its date-field addendum on 9 October 2026. Approved 9 October 2026 (v1.28). Approved 8 October 2026 (v1.27). Complete outstanding design/implementation verification; CM and template walkthrough remain deferred.</t>
        </is>
      </c>
      <c r="P16" s="39" t="inlineStr">
        <is>
          <t>KenTender_KT-STD-001_Document_Design_and_Verification_Standards_v1_29.md</t>
        </is>
      </c>
      <c r="Q16" s="35" t="n"/>
      <c r="R16" s="35" t="n"/>
      <c r="S16" s="17" t="n"/>
      <c r="T16" s="17" t="n"/>
      <c r="U16" s="17" t="n"/>
      <c r="V16" s="17" t="n"/>
      <c r="W16" s="17" t="n"/>
      <c r="X16" s="17" t="n"/>
      <c r="Y16" s="17" t="n"/>
      <c r="Z16" s="17" t="n"/>
    </row>
    <row r="17" ht="130" customHeight="1" s="15">
      <c r="A17" s="39" t="inlineStr">
        <is>
          <t>AUTH-ADR-001</t>
        </is>
      </c>
      <c r="B17" s="39" t="inlineStr">
        <is>
          <t>Role-Bound Business Responsibility and Organisational Scope</t>
        </is>
      </c>
      <c r="C17" s="39" t="inlineStr">
        <is>
          <t>1.15</t>
        </is>
      </c>
      <c r="D17" s="39" t="inlineStr">
        <is>
          <t>Identity and Access</t>
        </is>
      </c>
      <c r="E17" s="39" t="inlineStr">
        <is>
          <t>Architecture decision record</t>
        </is>
      </c>
      <c r="F17" s="39" t="inlineStr">
        <is>
          <t>Approved requirement</t>
        </is>
      </c>
      <c r="G17" s="40" t="n">
        <v>46306</v>
      </c>
      <c r="H17" s="39" t="inlineStr">
        <is>
          <t>v1.12; v1.13 and v1.14 proposals carried in full</t>
        </is>
      </c>
      <c r="I17" s="39" t="inlineStr">
        <is>
          <t>Not evidenced</t>
        </is>
      </c>
      <c r="J17" s="39" t="inlineStr">
        <is>
          <t>Not evidenced</t>
        </is>
      </c>
      <c r="K17" s="39" t="inlineStr">
        <is>
          <t>Not applicable</t>
        </is>
      </c>
      <c r="L17" s="39" t="inlineStr">
        <is>
          <t>Yes</t>
        </is>
      </c>
      <c r="M17" s="39" t="inlineStr">
        <is>
          <t>Approved v1.9 responsibility model plus bounded, non-authoritative STD-template inspection and concern access for Procurement Officer and HOPF. v1.12 adds the non-authoritative staff home organisation unit (display only, no authority), its System setup tab, and retires kt_primary_department.</t>
        </is>
      </c>
      <c r="N17" s="39" t="inlineStr">
        <is>
          <t>CFG-CHG-002 v0.19; STD-TPL-001 v0.10; all role-aware modules</t>
        </is>
      </c>
      <c r="O17" s="39" t="inlineStr">
        <is>
          <t>Approved 8 October 2026 (v1.12). Complete outstanding design/implementation verification; CM and template walkthrough remain deferred. v1.13 proposed 10 October 2026: a Tender scope type and the Tender Security Intake Officer responsibility, the separation policy, the sealed-record exception to technical read. v1.12 remains the approved authorization authority until the Project Owner approves v1.13. v1.14 proposed 10 October 2026: the section 8 sealed-record exception extended to the Bid Opening incident and linked records; AUTH-AC-057; carries v1.13 in full. The approved baseline is unchanged until the Project Owner approves v1.14. v1.15 proposed 11 October 2026: the incident access trail is read only by the Auditor and the Accounting Officer (AUTH-AC-058); carries v1.14 in full. The approved baseline is unchanged until the Project Owner approves v1.15. Approved 2026-10-11 (v1.15): Project Owner, 11 October 2026: “Mark the documents as approved”, answering the report of the proposed set BDS-CHG-001 v0.16, TPR-CHG-001 v0.20, STD-TPL-001 v0.17, BOP-CHG-001 v0.15, TRUST-ADR-001 v0.6, AUTH-ADR-001 v1.15, SEED-002 v0.7 and TRUST-OPS-001 v0.1. The proposals each carries in full are approved with it. Approval is not evidence of implementation, verification or release.</t>
        </is>
      </c>
      <c r="P17" s="39" t="inlineStr">
        <is>
          <t>KenTender_AUTH-ADR-001_Role-Bound_Business_Responsibility_and_Organisational_Scope_v1_15.md</t>
        </is>
      </c>
      <c r="Q17" s="35" t="n"/>
      <c r="R17" s="35" t="n"/>
      <c r="S17" s="17" t="n"/>
      <c r="T17" s="17" t="n"/>
      <c r="U17" s="17" t="n"/>
      <c r="V17" s="17" t="n"/>
      <c r="W17" s="17" t="n"/>
      <c r="X17" s="17" t="n"/>
      <c r="Y17" s="17" t="n"/>
      <c r="Z17" s="17" t="n"/>
    </row>
    <row r="18" ht="43.5" customHeight="1" s="15">
      <c r="A18" s="17" t="inlineStr">
        <is>
          <t>LAW-REG-001</t>
        </is>
      </c>
      <c r="B18" s="27" t="inlineStr">
        <is>
          <t>Statutory Correction Register</t>
        </is>
      </c>
      <c r="C18" s="17" t="inlineStr">
        <is>
          <t>1.2</t>
        </is>
      </c>
      <c r="D18" s="27" t="inlineStr">
        <is>
          <t>Cross-cutting law</t>
        </is>
      </c>
      <c r="E18" s="27" t="inlineStr">
        <is>
          <t>Statutory register</t>
        </is>
      </c>
      <c r="F18" s="27" t="inlineStr">
        <is>
          <t>Approved requirement</t>
        </is>
      </c>
      <c r="G18" s="33" t="n">
        <v>46288</v>
      </c>
      <c r="H18" s="27" t="inlineStr">
        <is>
          <t>v1.1 where corrected</t>
        </is>
      </c>
      <c r="I18" s="27" t="inlineStr">
        <is>
          <t>Not applicable</t>
        </is>
      </c>
      <c r="J18" s="27" t="inlineStr">
        <is>
          <t>Passed</t>
        </is>
      </c>
      <c r="K18" s="27" t="inlineStr">
        <is>
          <t>Not applicable</t>
        </is>
      </c>
      <c r="L18" s="17" t="inlineStr">
        <is>
          <t>Yes</t>
        </is>
      </c>
      <c r="M18" s="27" t="inlineStr">
        <is>
          <t>Controlling legal corrections including the 30% reservation interpretation.</t>
        </is>
      </c>
      <c r="N18" s="27" t="inlineStr">
        <is>
          <t>BUD-CHG-001; PLN-CHG-001; REQ-CHG-001; TPR-CHG-001; BDS-CHG-001</t>
        </is>
      </c>
      <c r="O18" s="27" t="inlineStr">
        <is>
          <t>Use as the legal correction authority during implementation review.</t>
        </is>
      </c>
      <c r="P18" s="27" t="inlineStr">
        <is>
          <t>KenTender_LAW-REG-001_Statutory_Correction_Register_v1_2.md</t>
        </is>
      </c>
      <c r="Q18" s="35" t="n"/>
      <c r="R18" s="35" t="n"/>
      <c r="S18" s="17" t="n"/>
      <c r="T18" s="17" t="n"/>
      <c r="U18" s="17" t="n"/>
      <c r="V18" s="17" t="n"/>
      <c r="W18" s="17" t="n"/>
      <c r="X18" s="17" t="n"/>
      <c r="Y18" s="17" t="n"/>
      <c r="Z18" s="17" t="n"/>
    </row>
    <row r="19" ht="130" customHeight="1" s="15">
      <c r="A19" s="39" t="inlineStr">
        <is>
          <t>SEED-001</t>
        </is>
      </c>
      <c r="B19" s="39" t="inlineStr">
        <is>
          <t>Harmonized End-to-End Fixture</t>
        </is>
      </c>
      <c r="C19" s="39" t="inlineStr">
        <is>
          <t>1.4</t>
        </is>
      </c>
      <c r="D19" s="39" t="inlineStr">
        <is>
          <t>Cross-module</t>
        </is>
      </c>
      <c r="E19" s="39" t="inlineStr">
        <is>
          <t>Fixture standard</t>
        </is>
      </c>
      <c r="F19" s="39" t="inlineStr">
        <is>
          <t>Historical provenance</t>
        </is>
      </c>
      <c r="G19" s="40" t="n">
        <v>46298</v>
      </c>
      <c r="H19" s="39" t="inlineStr">
        <is>
          <t>v1.2 and earlier</t>
        </is>
      </c>
      <c r="I19" s="39" t="inlineStr">
        <is>
          <t>Not evidenced</t>
        </is>
      </c>
      <c r="J19" s="39" t="inlineStr">
        <is>
          <t>Pending</t>
        </is>
      </c>
      <c r="K19" s="39" t="inlineStr">
        <is>
          <t>Not applicable</t>
        </is>
      </c>
      <c r="L19" s="39" t="inlineStr">
        <is>
          <t>Yes</t>
        </is>
      </c>
      <c r="M19" s="39" t="inlineStr">
        <is>
          <t>Shared deterministic actors, dates, values and identities across modules.</t>
        </is>
      </c>
      <c r="N19" s="39" t="inlineStr">
        <is>
          <t>All modules</t>
        </is>
      </c>
      <c r="O19" s="39" t="inlineStr">
        <is>
          <t>Retired as history on 8 October 2026 by SEED-002 v0.3 (Project Owner: "SEED-002 v0.3 is approved."); its rules are carried, superseded or dropped as SEED-002 Appendix A records. Previously approved 3 October 2026. Complete outstanding design/implementation verification; CM and template walkthrough remain deferred.</t>
        </is>
      </c>
      <c r="P19" s="39" t="inlineStr">
        <is>
          <t>KenTender_SEED-001_Harmonized_End_to_End_Fixture_v1_4.md</t>
        </is>
      </c>
      <c r="Q19" s="35" t="n"/>
      <c r="R19" s="35" t="n"/>
      <c r="S19" s="17" t="n"/>
      <c r="T19" s="17" t="n"/>
      <c r="U19" s="17" t="n"/>
      <c r="V19" s="17" t="n"/>
      <c r="W19" s="17" t="n"/>
      <c r="X19" s="17" t="n"/>
      <c r="Y19" s="17" t="n"/>
      <c r="Z19" s="17" t="n"/>
    </row>
    <row r="20" ht="130" customHeight="1" s="15">
      <c r="A20" s="39" t="inlineStr">
        <is>
          <t>SEED-OPS-001</t>
        </is>
      </c>
      <c r="B20" s="39" t="inlineStr">
        <is>
          <t>Canonical Site Seed Runbook</t>
        </is>
      </c>
      <c r="C20" s="39" t="inlineStr">
        <is>
          <t>1.24</t>
        </is>
      </c>
      <c r="D20" s="39" t="inlineStr">
        <is>
          <t>Cross-module</t>
        </is>
      </c>
      <c r="E20" s="39" t="inlineStr">
        <is>
          <t>Operational runbook</t>
        </is>
      </c>
      <c r="F20" s="39" t="inlineStr">
        <is>
          <t>Historical provenance</t>
        </is>
      </c>
      <c r="G20" s="40" t="n">
        <v>46299</v>
      </c>
      <c r="H20" s="39" t="inlineStr">
        <is>
          <t>v1.23 and v1.22; v1.0–v1.15 retained in KenTender_SEED-OPS-001_Canonical_Site_Seed_Runbook_v1_0.md</t>
        </is>
      </c>
      <c r="I20" s="39" t="inlineStr">
        <is>
          <t>Implemented</t>
        </is>
      </c>
      <c r="J20" s="39" t="inlineStr">
        <is>
          <t>Passed</t>
        </is>
      </c>
      <c r="K20" s="39" t="inlineStr">
        <is>
          <t>Not applicable</t>
        </is>
      </c>
      <c r="L20" s="39" t="inlineStr">
        <is>
          <t>Yes</t>
        </is>
      </c>
      <c r="M20" s="39" t="inlineStr">
        <is>
          <t>Resetting a site to the canonical seed world (KT-STD-001 §8 and SEED-001), stage by stage from site to award: options, what the clear removes, validation, demo profiles and troubleshooting.</t>
        </is>
      </c>
      <c r="N20" s="39" t="inlineStr">
        <is>
          <t>KT-STD-001 v1.12 approved; supplied v1.13 proposed fixture amendment used under recorded owner direction; SEED-001 v1.3 pending reconciliation; EVL v0.4 approved; AWD v0.4 proposed</t>
        </is>
      </c>
      <c r="O20" s="39" t="inlineStr">
        <is>
          <t>Retired as history on 8 October 2026 by SEED-002 v0.3 (Project Owner: "SEED-002 v0.3 is approved."); its rules are carried, superseded or dropped as SEED-002 Appendix A records. Previously approved 3 October 2026. Complete outstanding design/implementation verification; CM and template walkthrough remain deferred. v1.24 approved 4 October 2026 (Project Owner: "v1.24 is approved"; it covers v1.23): seeding a new server (§1.2) and its troubleshooting (§7).</t>
        </is>
      </c>
      <c r="P20" s="39" t="inlineStr">
        <is>
          <t>KenTender_SEED-OPS-001_Canonical_Site_Seed_Runbook_v1_24.md</t>
        </is>
      </c>
      <c r="Q20" s="35" t="inlineStr">
        <is>
          <t>1.22</t>
        </is>
      </c>
      <c r="R20" s="35" t="inlineStr">
        <is>
          <t>KenTender_SEED-OPS-001_Canonical_Site_Seed_Runbook_v1_22.md</t>
        </is>
      </c>
      <c r="S20" s="17" t="n"/>
      <c r="T20" s="17" t="n"/>
      <c r="U20" s="17" t="n"/>
      <c r="V20" s="17" t="n"/>
      <c r="W20" s="17" t="n"/>
      <c r="X20" s="17" t="n"/>
      <c r="Y20" s="17" t="n"/>
      <c r="Z20" s="17" t="n"/>
    </row>
    <row r="21" ht="43.5" customHeight="1" s="15">
      <c r="A21" s="17" t="inlineStr">
        <is>
          <t>G1-REG-001</t>
        </is>
      </c>
      <c r="B21" s="27" t="inlineStr">
        <is>
          <t>Public/Vendor MVP Closure and Implementation Handoff</t>
        </is>
      </c>
      <c r="C21" s="17" t="inlineStr">
        <is>
          <t>1.1</t>
        </is>
      </c>
      <c r="D21" s="27" t="inlineStr">
        <is>
          <t>Gate 1</t>
        </is>
      </c>
      <c r="E21" s="27" t="inlineStr">
        <is>
          <t>Implementation handoff</t>
        </is>
      </c>
      <c r="F21" s="27" t="inlineStr">
        <is>
          <t>Approved requirement</t>
        </is>
      </c>
      <c r="G21" s="33" t="n">
        <v>46296</v>
      </c>
      <c r="H21" s="27" t="inlineStr">
        <is>
          <t>v1.0</t>
        </is>
      </c>
      <c r="I21" s="27" t="inlineStr">
        <is>
          <t>Planned</t>
        </is>
      </c>
      <c r="J21" s="27" t="inlineStr">
        <is>
          <t>Not evidenced</t>
        </is>
      </c>
      <c r="K21" s="27" t="inlineStr">
        <is>
          <t>Blocked</t>
        </is>
      </c>
      <c r="L21" s="17" t="inlineStr">
        <is>
          <t>Yes</t>
        </is>
      </c>
      <c r="M21" s="27" t="inlineStr">
        <is>
          <t>Reconciled implementation sequence from public discovery through sealed Bid Submission, including the installed STD runtime and in-flight release lifecycle.</t>
        </is>
      </c>
      <c r="N21" s="27" t="inlineStr">
        <is>
          <t>CFG v0.16; STD-TPL v0.10; STD-TPL-IMP v1.0; TPR v0.11; BDS v0.7; REQ v1.12; PLN v1.27; BUD v1.11; AUTH v1.10; KT-STD v1.8</t>
        </is>
      </c>
      <c r="O21" s="27" t="inlineStr">
        <is>
          <t>Approved 1 October 2026. Implement and verify the approved contract; retain existing release gates and open substantive findings.</t>
        </is>
      </c>
      <c r="P21" s="27" t="inlineStr">
        <is>
          <t>KenTender_G1-REG-001_Public_Vendor_MVP_Closure_and_Implementation_Handoff_v1_1.md</t>
        </is>
      </c>
      <c r="Q21" s="35" t="n"/>
      <c r="R21" s="35" t="n"/>
      <c r="S21" s="17" t="n"/>
      <c r="T21" s="17" t="n"/>
      <c r="U21" s="17" t="n"/>
      <c r="V21" s="17" t="n"/>
      <c r="W21" s="17" t="n"/>
      <c r="X21" s="17" t="n"/>
      <c r="Y21" s="17" t="n"/>
      <c r="Z21" s="17" t="n"/>
    </row>
    <row r="22" ht="130" customHeight="1" s="15">
      <c r="A22" s="39" t="inlineStr">
        <is>
          <t>KT-RCA-001</t>
        </is>
      </c>
      <c r="B22" s="39" t="inlineStr">
        <is>
          <t>Roadmap Coverage Assessment</t>
        </is>
      </c>
      <c r="C22" s="39" t="inlineStr">
        <is>
          <t>1.3</t>
        </is>
      </c>
      <c r="D22" s="39" t="inlineStr">
        <is>
          <t>Programme</t>
        </is>
      </c>
      <c r="E22" s="39" t="inlineStr">
        <is>
          <t>Programme assessment</t>
        </is>
      </c>
      <c r="F22" s="39" t="inlineStr">
        <is>
          <t>Approved requirement</t>
        </is>
      </c>
      <c r="G22" s="40" t="n">
        <v>46298</v>
      </c>
      <c r="H22" s="39" t="inlineStr">
        <is>
          <t>v1.1</t>
        </is>
      </c>
      <c r="I22" s="39" t="inlineStr">
        <is>
          <t>Not applicable</t>
        </is>
      </c>
      <c r="J22" s="39" t="inlineStr">
        <is>
          <t>Not applicable</t>
        </is>
      </c>
      <c r="K22" s="39" t="inlineStr">
        <is>
          <t>Not applicable</t>
        </is>
      </c>
      <c r="L22" s="39" t="inlineStr">
        <is>
          <t>Yes</t>
        </is>
      </c>
      <c r="M22" s="39" t="inlineStr">
        <is>
          <t>Coverage through approved Bid Opening v0.10 and Evaluation v0.4; Award next, followed by Supplier Management. Proposed coordinated amendments and production gates remain distinct.</t>
        </is>
      </c>
      <c r="N22" s="39" t="inlineStr">
        <is>
          <t>Source roadmap; current controlled baseline</t>
        </is>
      </c>
      <c r="O22" s="39" t="inlineStr">
        <is>
          <t>Approved 3 October 2026. Complete outstanding design/implementation verification; CM and template walkthrough remain deferred.</t>
        </is>
      </c>
      <c r="P22" s="39" t="inlineStr">
        <is>
          <t>KenTender_Roadmap_Coverage_Assessment_v1_3.md</t>
        </is>
      </c>
      <c r="Q22" s="35" t="n"/>
      <c r="R22" s="35" t="n"/>
      <c r="S22" s="17" t="n"/>
      <c r="T22" s="17" t="n"/>
      <c r="U22" s="17" t="n"/>
      <c r="V22" s="17" t="n"/>
      <c r="W22" s="17" t="n"/>
      <c r="X22" s="17" t="n"/>
      <c r="Y22" s="17" t="n"/>
      <c r="Z22" s="17" t="n"/>
    </row>
    <row r="23" ht="43.5" customHeight="1" s="15">
      <c r="A23" s="17" t="inlineStr">
        <is>
          <t>RES-IMP-001</t>
        </is>
      </c>
      <c r="B23" s="27" t="inlineStr">
        <is>
          <t>Reservation Correction Implementation Handoff</t>
        </is>
      </c>
      <c r="C23" s="17" t="inlineStr">
        <is>
          <t>1.0</t>
        </is>
      </c>
      <c r="D23" s="27" t="inlineStr">
        <is>
          <t>Cross-module reservation</t>
        </is>
      </c>
      <c r="E23" s="27" t="inlineStr">
        <is>
          <t>Implementation handoff</t>
        </is>
      </c>
      <c r="F23" s="27" t="inlineStr">
        <is>
          <t>Approved requirement</t>
        </is>
      </c>
      <c r="G23" s="33" t="n">
        <v>46296</v>
      </c>
      <c r="H23" s="27" t="n"/>
      <c r="I23" s="27" t="inlineStr">
        <is>
          <t>Planned</t>
        </is>
      </c>
      <c r="J23" s="27" t="inlineStr">
        <is>
          <t>Not evidenced</t>
        </is>
      </c>
      <c r="K23" s="27" t="inlineStr">
        <is>
          <t>Not applicable</t>
        </is>
      </c>
      <c r="L23" s="17" t="inlineStr">
        <is>
          <t>Yes</t>
        </is>
      </c>
      <c r="M23" s="27" t="inlineStr">
        <is>
          <t>Functional and design correction for the statutory reservation denominator and downstream propagation.</t>
        </is>
      </c>
      <c r="N23" s="27" t="inlineStr">
        <is>
          <t>LAW-REG-001; PLN-CHG-001; REQ-CHG-001; TPR-CHG-001; BDS-CHG-001</t>
        </is>
      </c>
      <c r="O23" s="27" t="inlineStr">
        <is>
          <t>Approved 1 October 2026. Implement and verify the approved contract; retain existing release gates and open substantive findings.</t>
        </is>
      </c>
      <c r="P23" s="27" t="inlineStr">
        <is>
          <t>KenTender_RES-IMP-001_Reservation_Correction_Implementation_Handoff_v1_0.md</t>
        </is>
      </c>
      <c r="Q23" s="35" t="n"/>
      <c r="R23" s="35" t="n"/>
      <c r="S23" s="17" t="n"/>
      <c r="T23" s="17" t="n"/>
      <c r="U23" s="17" t="n"/>
      <c r="V23" s="17" t="n"/>
      <c r="W23" s="17" t="n"/>
      <c r="X23" s="17" t="n"/>
      <c r="Y23" s="17" t="n"/>
      <c r="Z23" s="17" t="n"/>
    </row>
    <row r="24" ht="43.5" customHeight="1" s="15">
      <c r="A24" s="17" t="inlineStr">
        <is>
          <t>WFG-STD</t>
        </is>
      </c>
      <c r="B24" s="27" t="inlineStr">
        <is>
          <t>KenTender Workflow Guidance Standard</t>
        </is>
      </c>
      <c r="C24" s="17" t="inlineStr">
        <is>
          <t>Unversioned approved source</t>
        </is>
      </c>
      <c r="D24" s="27" t="inlineStr">
        <is>
          <t>Cross-module UX and workflow</t>
        </is>
      </c>
      <c r="E24" s="27" t="inlineStr">
        <is>
          <t>Approved source standard</t>
        </is>
      </c>
      <c r="F24" s="27" t="inlineStr">
        <is>
          <t>Approved reference</t>
        </is>
      </c>
      <c r="G24" s="33" t="n">
        <v>46290</v>
      </c>
      <c r="H24" s="27" t="n"/>
      <c r="I24" s="27" t="inlineStr">
        <is>
          <t>Planned</t>
        </is>
      </c>
      <c r="J24" s="27" t="inlineStr">
        <is>
          <t>Not evidenced</t>
        </is>
      </c>
      <c r="K24" s="27" t="inlineStr">
        <is>
          <t>Not applicable</t>
        </is>
      </c>
      <c r="L24" s="17" t="inlineStr">
        <is>
          <t>Yes—through KT-STD-001 v1.9 and module adoption</t>
        </is>
      </c>
      <c r="M24" s="27" t="inlineStr">
        <is>
          <t>Defines the no-dead-ends test, shared next-step response, My Work hand-off coverage, restrained journey tracker and Home guidance using the Planning over-budget case.</t>
        </is>
      </c>
      <c r="N24" s="27" t="inlineStr">
        <is>
          <t>KT-STD-001 v1.9; module-specific adoption</t>
        </is>
      </c>
      <c r="O24" s="27" t="inlineStr">
        <is>
          <t>Retain as approved provenance. Implement operative wording from KT-STD-001 v1.9 and each current module document.</t>
        </is>
      </c>
      <c r="P24" s="27" t="inlineStr">
        <is>
          <t>KenTender_Workflow_Guidance_Standard.md</t>
        </is>
      </c>
      <c r="Q24" s="35" t="n"/>
      <c r="R24" s="35" t="n"/>
      <c r="S24" s="17" t="n"/>
      <c r="T24" s="17" t="n"/>
      <c r="U24" s="17" t="n"/>
      <c r="V24" s="17" t="n"/>
      <c r="W24" s="17" t="n"/>
      <c r="X24" s="17" t="n"/>
      <c r="Y24" s="17" t="n"/>
      <c r="Z24" s="17" t="n"/>
    </row>
    <row r="25" ht="43.5" customHeight="1" s="15">
      <c r="A25" s="17" t="inlineStr">
        <is>
          <t>PLN-JOURNEY-REF</t>
        </is>
      </c>
      <c r="B25" s="27" t="inlineStr">
        <is>
          <t>PLN-CHG-001 Next-step and journey content</t>
        </is>
      </c>
      <c r="C25" s="17" t="inlineStr">
        <is>
          <t>Draft input dated 2026-09-25</t>
        </is>
      </c>
      <c r="D25" s="27" t="inlineStr">
        <is>
          <t>Procurement Planning</t>
        </is>
      </c>
      <c r="E25" s="27" t="inlineStr">
        <is>
          <t>Module amendment source</t>
        </is>
      </c>
      <c r="F25" s="27" t="inlineStr">
        <is>
          <t>Historical provenance</t>
        </is>
      </c>
      <c r="G25" s="33" t="n"/>
      <c r="H25" s="27" t="inlineStr">
        <is>
          <t>Absorbed by approved PLN-CHG-001 v1.26 and v1.27</t>
        </is>
      </c>
      <c r="I25" s="27" t="inlineStr">
        <is>
          <t>Not applicable</t>
        </is>
      </c>
      <c r="J25" s="27" t="inlineStr">
        <is>
          <t>Not applicable</t>
        </is>
      </c>
      <c r="K25" s="27" t="inlineStr">
        <is>
          <t>Not applicable</t>
        </is>
      </c>
      <c r="L25" s="17" t="inlineStr">
        <is>
          <t>No</t>
        </is>
      </c>
      <c r="M25" s="27" t="inlineStr">
        <is>
          <t>Draft wording and per-screen next-step/journey proposal used to prepare Planning v1.26.</t>
        </is>
      </c>
      <c r="N25" s="27" t="inlineStr">
        <is>
          <t>Workflow Guidance Standard; KT-STD-001 v1.8; PLN-CHG-001 v1.25</t>
        </is>
      </c>
      <c r="O25" s="27" t="inlineStr">
        <is>
          <t>Do not use as a separate implementation authority; retain only as provenance for PLN v1.27.</t>
        </is>
      </c>
      <c r="P25" s="27" t="inlineStr">
        <is>
          <t>PLN-CHG-001_Next-step_and_journey.md</t>
        </is>
      </c>
      <c r="Q25" s="35" t="n"/>
      <c r="R25" s="35" t="n"/>
      <c r="S25" s="17" t="n"/>
      <c r="T25" s="17" t="n"/>
      <c r="U25" s="17" t="n"/>
      <c r="V25" s="17" t="n"/>
      <c r="W25" s="17" t="n"/>
      <c r="X25" s="17" t="n"/>
      <c r="Y25" s="17" t="n"/>
      <c r="Z25" s="17" t="n"/>
    </row>
    <row r="26" ht="43.5" customHeight="1" s="15">
      <c r="A26" s="17" t="inlineStr">
        <is>
          <t>ISSUE-UJ-001</t>
        </is>
      </c>
      <c r="B26" s="27" t="inlineStr">
        <is>
          <t>Opaqueness in the user journey</t>
        </is>
      </c>
      <c r="C26" s="17" t="inlineStr">
        <is>
          <t>Issue record dated 2026-09-25</t>
        </is>
      </c>
      <c r="D26" s="27" t="inlineStr">
        <is>
          <t>Cross-module UX and workflow</t>
        </is>
      </c>
      <c r="E26" s="27" t="inlineStr">
        <is>
          <t>Issue and recommendation evidence</t>
        </is>
      </c>
      <c r="F26" s="27" t="inlineStr">
        <is>
          <t>Issue evidence</t>
        </is>
      </c>
      <c r="G26" s="33" t="n"/>
      <c r="H26" s="27" t="n"/>
      <c r="I26" s="27" t="inlineStr">
        <is>
          <t>Not applicable</t>
        </is>
      </c>
      <c r="J26" s="27" t="inlineStr">
        <is>
          <t>Not applicable</t>
        </is>
      </c>
      <c r="K26" s="27" t="inlineStr">
        <is>
          <t>Not applicable</t>
        </is>
      </c>
      <c r="L26" s="17" t="inlineStr">
        <is>
          <t>No</t>
        </is>
      </c>
      <c r="M26" s="27" t="inlineStr">
        <is>
          <t>Records the over-budget Planning dead end and recommends a no-dead-ends test, shared next-step block, complete My Work hand-offs, journey tracking and a useful Home page.</t>
        </is>
      </c>
      <c r="N26" s="27" t="inlineStr">
        <is>
          <t>Workflow Guidance Standard; KT-STD-001 v1.8; PLN-CHG-001 v1.27</t>
        </is>
      </c>
      <c r="O26" s="27" t="inlineStr">
        <is>
          <t>Retain as evidence of the defect and recommendation; implement only through approved standards and module documents.</t>
        </is>
      </c>
      <c r="P26" s="27" t="inlineStr">
        <is>
          <t>Opaqueness_in_the_user_journey.md</t>
        </is>
      </c>
      <c r="Q26" s="35" t="n"/>
      <c r="R26" s="35" t="n"/>
      <c r="S26" s="17" t="n"/>
      <c r="T26" s="17" t="n"/>
      <c r="U26" s="17" t="n"/>
      <c r="V26" s="17" t="n"/>
      <c r="W26" s="17" t="n"/>
      <c r="X26" s="17" t="n"/>
      <c r="Y26" s="17" t="n"/>
      <c r="Z26" s="17" t="n"/>
    </row>
    <row r="27" ht="43.5" customHeight="1" s="15">
      <c r="A27" s="17" t="inlineStr">
        <is>
          <t>ROADMAP-SRC</t>
        </is>
      </c>
      <c r="B27" s="27" t="inlineStr">
        <is>
          <t>KenTender ePublic Milestone Overview</t>
        </is>
      </c>
      <c r="C27" s="17" t="inlineStr">
        <is>
          <t>2</t>
        </is>
      </c>
      <c r="D27" s="27" t="inlineStr">
        <is>
          <t>Programme</t>
        </is>
      </c>
      <c r="E27" s="27" t="inlineStr">
        <is>
          <t>Source roadmap</t>
        </is>
      </c>
      <c r="F27" s="27" t="inlineStr">
        <is>
          <t>Directional</t>
        </is>
      </c>
      <c r="G27" s="33" t="n"/>
      <c r="H27" s="27" t="n"/>
      <c r="I27" s="27" t="inlineStr">
        <is>
          <t>Not applicable</t>
        </is>
      </c>
      <c r="J27" s="27" t="inlineStr">
        <is>
          <t>Not applicable</t>
        </is>
      </c>
      <c r="K27" s="27" t="inlineStr">
        <is>
          <t>Not applicable</t>
        </is>
      </c>
      <c r="L27" s="17" t="inlineStr">
        <is>
          <t>No</t>
        </is>
      </c>
      <c r="M27" s="27" t="inlineStr">
        <is>
          <t>Initial client roadmap and milestone intent.</t>
        </is>
      </c>
      <c r="N27" s="27" t="inlineStr">
        <is>
          <t>KT-RCA-001</t>
        </is>
      </c>
      <c r="O27" s="27" t="inlineStr">
        <is>
          <t>Retain as source context; resolve implementation from controlled module documents.</t>
        </is>
      </c>
      <c r="P27" s="27" t="inlineStr">
        <is>
          <t>KenTender ePublic Milestone Overview v2.md</t>
        </is>
      </c>
      <c r="Q27" s="35" t="n"/>
      <c r="R27" s="35" t="n"/>
      <c r="S27" s="17" t="n"/>
      <c r="T27" s="17" t="n"/>
      <c r="U27" s="17" t="n"/>
      <c r="V27" s="17" t="n"/>
      <c r="W27" s="17" t="n"/>
      <c r="X27" s="17" t="n"/>
      <c r="Y27" s="17" t="n"/>
      <c r="Z27" s="17" t="n"/>
    </row>
    <row r="28" ht="43.5" customHeight="1" s="15">
      <c r="A28" s="17" t="inlineStr">
        <is>
          <t>IT-EQUIPMENT-OPEN-V1</t>
        </is>
      </c>
      <c r="B28" s="27" t="inlineStr">
        <is>
          <t>IT Equipment Open Tender Release Bundle</t>
        </is>
      </c>
      <c r="C28" s="17" t="inlineStr">
        <is>
          <t>candidate</t>
        </is>
      </c>
      <c r="D28" s="27" t="inlineStr">
        <is>
          <t>STD Templates</t>
        </is>
      </c>
      <c r="E28" s="27" t="inlineStr">
        <is>
          <t>Release artifact</t>
        </is>
      </c>
      <c r="F28" s="27" t="inlineStr">
        <is>
          <t>Release artifact</t>
        </is>
      </c>
      <c r="G28" s="33" t="n"/>
      <c r="H28" s="27" t="n"/>
      <c r="I28" s="27" t="inlineStr">
        <is>
          <t>Implemented</t>
        </is>
      </c>
      <c r="J28" s="27" t="inlineStr">
        <is>
          <t>Pending</t>
        </is>
      </c>
      <c r="K28" s="27" t="inlineStr">
        <is>
          <t>Candidate</t>
        </is>
      </c>
      <c r="L28" s="17" t="inlineStr">
        <is>
          <t>No</t>
        </is>
      </c>
      <c r="M28" s="27" t="inlineStr">
        <is>
          <t>Earlier candidate ZIP; requires reconciliation to amended STD-TPL-001 v0.10 before installation and Administrator On.</t>
        </is>
      </c>
      <c r="N28" s="27" t="inlineStr">
        <is>
          <t>STD-TPL-001 v0.10; STD-TPL-IMP-001 v1.1</t>
        </is>
      </c>
      <c r="O28" s="27" t="inlineStr">
        <is>
          <t>Rebuild and verify the bundle and renderer compatibility; do not treat this earlier ZIP as installed or On. Observation, 2 October 2026: QA exercised template release 1.2 (manifest status Candidate) on Tender TND-MOH-2027-002 and found Confidential Business Questionnaire defects (DEC-035). No status here is changed by that observation.</t>
        </is>
      </c>
      <c r="P28" s="27" t="inlineStr">
        <is>
          <t>it_equipment_open_v1.zip</t>
        </is>
      </c>
      <c r="Q28" s="35" t="n"/>
      <c r="R28" s="35" t="n"/>
      <c r="S28" s="17" t="n"/>
      <c r="T28" s="17" t="n"/>
      <c r="U28" s="17" t="n"/>
      <c r="V28" s="17" t="n"/>
      <c r="W28" s="17" t="n"/>
      <c r="X28" s="17" t="n"/>
      <c r="Y28" s="17" t="n"/>
      <c r="Z28" s="17" t="n"/>
    </row>
    <row r="29" ht="43.5" customHeight="1" s="15">
      <c r="A29" s="17" t="inlineStr">
        <is>
          <t>STD-STD-001</t>
        </is>
      </c>
      <c r="B29" s="27" t="inlineStr">
        <is>
          <t>Referenced structured-tender standard</t>
        </is>
      </c>
      <c r="C29" s="17" t="inlineStr">
        <is>
          <t>1.1</t>
        </is>
      </c>
      <c r="D29" s="27" t="inlineStr">
        <is>
          <t>Tenders/Bids</t>
        </is>
      </c>
      <c r="E29" s="27" t="inlineStr">
        <is>
          <t>Referenced standard</t>
        </is>
      </c>
      <c r="F29" s="27" t="inlineStr">
        <is>
          <t>Referenced—unresolved</t>
        </is>
      </c>
      <c r="G29" s="33" t="n"/>
      <c r="H29" s="27" t="n"/>
      <c r="I29" s="27" t="inlineStr">
        <is>
          <t>Not evidenced</t>
        </is>
      </c>
      <c r="J29" s="27" t="inlineStr">
        <is>
          <t>Not evidenced</t>
        </is>
      </c>
      <c r="K29" s="27" t="inlineStr">
        <is>
          <t>Blocked</t>
        </is>
      </c>
      <c r="L29" s="17" t="inlineStr">
        <is>
          <t>Unknown</t>
        </is>
      </c>
      <c r="M29" s="27" t="inlineStr">
        <is>
          <t>Referenced by current documents but the exact controlled file was not resolved in the admitted set.</t>
        </is>
      </c>
      <c r="N29" s="27" t="inlineStr">
        <is>
          <t>STD-TPL-001; TPR-CHG-001; BDS-CHG-001</t>
        </is>
      </c>
      <c r="O29" s="27" t="inlineStr">
        <is>
          <t>Locate or admit the exact v1.1 controlled file, then reconcile its authority and dependencies.</t>
        </is>
      </c>
      <c r="P29" s="27" t="n"/>
      <c r="Q29" s="35" t="n"/>
      <c r="R29" s="35" t="n"/>
      <c r="S29" s="17" t="n"/>
      <c r="T29" s="17" t="n"/>
      <c r="U29" s="17" t="n"/>
      <c r="V29" s="17" t="n"/>
      <c r="W29" s="17" t="n"/>
      <c r="X29" s="17" t="n"/>
      <c r="Y29" s="17" t="n"/>
      <c r="Z29" s="17" t="n"/>
    </row>
    <row r="30" ht="43.5" customHeight="1" s="15">
      <c r="A30" s="17" t="inlineStr">
        <is>
          <t>STD-ST-001</t>
        </is>
      </c>
      <c r="B30" s="27" t="inlineStr">
        <is>
          <t>Practical STD and Tender-Preparation Stress Test</t>
        </is>
      </c>
      <c r="C30" s="17" t="inlineStr">
        <is>
          <t>0.5</t>
        </is>
      </c>
      <c r="D30" s="27" t="inlineStr">
        <is>
          <t>Verification</t>
        </is>
      </c>
      <c r="E30" s="27" t="inlineStr">
        <is>
          <t>Referenced standard</t>
        </is>
      </c>
      <c r="F30" s="27" t="inlineStr">
        <is>
          <t>Approved reference</t>
        </is>
      </c>
      <c r="G30" s="33" t="n">
        <v>46276</v>
      </c>
      <c r="H30" s="27" t="inlineStr">
        <is>
          <t>v0.4 approved 7 September 2026; earlier versions</t>
        </is>
      </c>
      <c r="I30" s="27" t="inlineStr">
        <is>
          <t>Not evidenced</t>
        </is>
      </c>
      <c r="J30" s="27" t="inlineStr">
        <is>
          <t>Not evidenced</t>
        </is>
      </c>
      <c r="K30" s="27" t="inlineStr">
        <is>
          <t>Blocked</t>
        </is>
      </c>
      <c r="L30" s="17" t="inlineStr">
        <is>
          <t>Yes</t>
        </is>
      </c>
      <c r="M30" s="27" t="inlineStr">
        <is>
          <t>Comparative stress test of STD-ADR-002 v1.0: no operational STD Configuration engine; code-owned, versioned tender patterns; locked official text; finite tender decisions and fixed schedules. Implementation authority: none. (Before 2 October 2026 read: Referenced by current documents but the exact controlled v0.5 file was not resolved in the admitted set.)</t>
        </is>
      </c>
      <c r="N30" s="27" t="inlineStr">
        <is>
          <t>STD-ADR-002 v1.0; STD-STD-001 v1.1; AUTH-ADR-001 v1.7 (as cited in v0.5)</t>
        </is>
      </c>
      <c r="O30" s="27" t="inlineStr">
        <is>
          <t>Exact v0.5 file supplied by the Project Owner on 2 October 2026; admit it to the document library and record its library file ID. Its approval effect requires the §13 human walkthroughs and a separately approved narrow implementation pack before implementation (AUD-023). (Before 2 October 2026 read: Locate or admit the exact v0.5 controlled file before final integrated verification.)</t>
        </is>
      </c>
      <c r="P30" s="27" t="inlineStr">
        <is>
          <t>KenTender_STD-ST-001_STD-ADR-002_Manual_End-to-End_Stress_Test_v0_5.md</t>
        </is>
      </c>
      <c r="Q30" s="35" t="n"/>
      <c r="R30" s="35" t="n"/>
      <c r="S30" s="17" t="n"/>
      <c r="T30" s="17" t="n"/>
      <c r="U30" s="17" t="n"/>
      <c r="V30" s="17" t="n"/>
      <c r="W30" s="17" t="n"/>
      <c r="X30" s="17" t="n"/>
      <c r="Y30" s="17" t="n"/>
      <c r="Z30" s="17" t="n"/>
    </row>
    <row r="31" ht="130" customHeight="1" s="15">
      <c r="A31" s="39" t="inlineStr">
        <is>
          <t>TRUST-ADR-001</t>
        </is>
      </c>
      <c r="B31" s="39" t="inlineStr">
        <is>
          <t>Shared Signing and Sealed Custody</t>
        </is>
      </c>
      <c r="C31" s="39" t="inlineStr">
        <is>
          <t>0.6</t>
        </is>
      </c>
      <c r="D31" s="39" t="inlineStr">
        <is>
          <t>Shared Trust Infrastructure</t>
        </is>
      </c>
      <c r="E31" s="39" t="inlineStr">
        <is>
          <t>Architecture decision</t>
        </is>
      </c>
      <c r="F31" s="39" t="inlineStr">
        <is>
          <t>Approved requirement</t>
        </is>
      </c>
      <c r="G31" s="40" t="n">
        <v>46306</v>
      </c>
      <c r="H31" s="39" t="inlineStr">
        <is>
          <t>v0.2; v0.3 to v0.5 proposals carried in full</t>
        </is>
      </c>
      <c r="I31" s="39" t="inlineStr">
        <is>
          <t>Not started</t>
        </is>
      </c>
      <c r="J31" s="39" t="inlineStr">
        <is>
          <t>Not started</t>
        </is>
      </c>
      <c r="K31" s="39" t="inlineStr">
        <is>
          <t>Blocked</t>
        </is>
      </c>
      <c r="L31" s="39" t="inlineStr">
        <is>
          <t>Yes</t>
        </is>
      </c>
      <c r="M31" s="39" t="inlineStr">
        <is>
          <t>Locks two distinct signing/decision semantics and separate multi-person sealed-bid custody, defers actual production mechanisms to a shared support module, and permits synthetic test proxies only.</t>
        </is>
      </c>
      <c r="N31" s="39" t="inlineStr">
        <is>
          <t>BDS-CHG-001 v0.8 (v0.9 proposed); BOP-CHG-001 v0.10 proposed; PRC-CHG-001 v0.9 proposed; LAW-V-001</t>
        </is>
      </c>
      <c r="O31" s="39" t="inlineStr">
        <is>
          <t>Approved 3 October 2026. Complete outstanding design/implementation verification; CM and template walkthrough remain deferred. v0.3 proposed 10 October 2026: test notices withdrawn: the two required labels in the section 2 table and the 'clearly labelled' phrase, with a no-test-notices rule (Project Owner, 10 October 2026). v0.2 remains the approved baseline until the Project Owner approves v0.3. v0.4 proposed 10 October 2026: technical-access controls for sealed bids and tender-security intake (section 2A) and the interim issuer-verification proxy; carries the v0.3 test-notice withdrawal. v0.2 remains the approved baseline until the Project Owner approves v0.4. v0.5 proposed 10 October 2026: section 2B: incident records sealed, no unrestricted break-glass access to sealed bids in the MVP, and the incident-recovery procedure as production-readiness item PR-001; carries v0.4 in full. The approved baseline is unchanged until the Project Owner approves v0.5. v0.6 proposed 11 October 2026: PR-001 procedure drafted as TRUST-OPS-001 v0.1; incident-detail read auditing recorded as built; carries v0.5 in full. The approved baseline is unchanged until the Project Owner approves v0.6. Approved 2026-10-11 (v0.6): Project Owner, 11 October 2026: “Mark the documents as approved”, answering the report of the proposed set BDS-CHG-001 v0.16, TPR-CHG-001 v0.20, STD-TPL-001 v0.17, BOP-CHG-001 v0.15, TRUST-ADR-001 v0.6, AUTH-ADR-001 v1.15, SEED-002 v0.7 and TRUST-OPS-001 v0.1. The proposals each carries in full are approved with it. Approval is not evidence of implementation, verification or release.</t>
        </is>
      </c>
      <c r="P31" s="39" t="inlineStr">
        <is>
          <t>KenTender_TRUST-ADR-001_Shared_Signing_and_Sealed_Custody_v0_6.md</t>
        </is>
      </c>
      <c r="Q31" s="35" t="n"/>
      <c r="R31" s="35" t="n"/>
      <c r="S31" s="17" t="n"/>
      <c r="T31" s="17" t="n"/>
      <c r="U31" s="17" t="n"/>
      <c r="V31" s="17" t="n"/>
      <c r="W31" s="17" t="n"/>
      <c r="X31" s="17" t="n"/>
      <c r="Y31" s="17" t="n"/>
      <c r="Z31" s="17" t="n"/>
    </row>
    <row r="32" ht="130" customHeight="1" s="15">
      <c r="A32" s="39" t="inlineStr">
        <is>
          <t>BOP-CHG-001</t>
        </is>
      </c>
      <c r="B32" s="39" t="inlineStr">
        <is>
          <t>Electronic Bid Opening</t>
        </is>
      </c>
      <c r="C32" s="39" t="inlineStr">
        <is>
          <t>0.15</t>
        </is>
      </c>
      <c r="D32" s="39" t="inlineStr">
        <is>
          <t>Bid Opening</t>
        </is>
      </c>
      <c r="E32" s="39" t="inlineStr">
        <is>
          <t>Module requirements</t>
        </is>
      </c>
      <c r="F32" s="39" t="inlineStr">
        <is>
          <t>Approved requirement</t>
        </is>
      </c>
      <c r="G32" s="40" t="n">
        <v>46306</v>
      </c>
      <c r="H32" s="39" t="inlineStr">
        <is>
          <t>v0.11; v0.12 to v0.14 proposals carried in full; v0.9 approved 29 September 2026, retained as historical evidence</t>
        </is>
      </c>
      <c r="I32" s="39" t="inlineStr">
        <is>
          <t>In progress</t>
        </is>
      </c>
      <c r="J32" s="39" t="inlineStr">
        <is>
          <t>Pending</t>
        </is>
      </c>
      <c r="K32" s="39" t="inlineStr">
        <is>
          <t>Not approved</t>
        </is>
      </c>
      <c r="L32" s="39" t="inlineStr">
        <is>
          <t>Yes</t>
        </is>
      </c>
      <c r="M32" s="39" t="inlineStr">
        <is>
          <t>Approved design and development contract. v0.10 adds the opening-access-unavailable scenario, four completed-record correction kinds, the AO Your turn state and a unified Tender route.</t>
        </is>
      </c>
      <c r="N32" s="39" t="inlineStr">
        <is>
          <t>KT-STD-001 v1.10 approved; TPR-CHG-001 v0.13 approved (v0.14 post-close seam proposed); BDS-CHG-001 v0.8 approved (v0.9 correction proposed); PRC-CHG-001 v0.9 approved; TRUST-ADR-001 v0.1 approved; LAW-V-001; future Evaluation intake</t>
        </is>
      </c>
      <c r="O32" s="39" t="inlineStr">
        <is>
          <t>Approved 3 October 2026. Complete outstanding design/implementation verification; CM and template walkthrough remain deferred. v0.12 proposed 10 October 2026: test labels withdrawn from the shared-infrastructure deferral, section 13 and section 17 (Project Owner, 10 October 2026). v0.11 remains the approved baseline until the Project Owner approves v0.12. v0.13 proposed 10 October 2026: the confidentiality exception for security intake, the opening access boundary, the intake exclusion in the appointment and BOP-N19 to N21, BOP-A22 to A24; carries the v0.12 test-label withdrawal. v0.11 remains the approved baseline until the Project Owner approves v0.13. v0.14 proposed 10 October 2026: Opening incident records and linked identifiers sealed; incident reads limited to the committee, the Accounting Officer and the assigned Opening access support holder; BOP-N22; carries v0.13 in full. The approved baseline is unchanged until the Project Owner approves v0.14. v0.15 proposed 11 October 2026: audited, purpose-named reads of incident details, the audited export and the restricted access trail (BOP-N23 to BOP-N26); carries v0.14 in full. The approved baseline is unchanged until the Project Owner approves v0.15. Approved 2026-10-11 (v0.15): Project Owner, 11 October 2026: “Mark the documents as approved”, answering the report of the proposed set BDS-CHG-001 v0.16, TPR-CHG-001 v0.20, STD-TPL-001 v0.17, BOP-CHG-001 v0.15, TRUST-ADR-001 v0.6, AUTH-ADR-001 v1.15, SEED-002 v0.7 and TRUST-OPS-001 v0.1. The proposals each carries in full are approved with it. Approval is not evidence of implementation, verification or release.</t>
        </is>
      </c>
      <c r="P32" s="39" t="inlineStr">
        <is>
          <t>KenTender_BOP-CHG-001_Electronic_Bid_Opening_v0_15.md</t>
        </is>
      </c>
      <c r="Q32" s="35" t="n"/>
      <c r="R32" s="35" t="n"/>
      <c r="S32" s="17" t="n"/>
      <c r="T32" s="17" t="n"/>
      <c r="U32" s="17" t="n"/>
      <c r="V32" s="17" t="n"/>
      <c r="W32" s="17" t="n"/>
      <c r="X32" s="17" t="n"/>
      <c r="Y32" s="17" t="n"/>
      <c r="Z32" s="17" t="n"/>
    </row>
    <row r="33" ht="130" customHeight="1" s="15">
      <c r="A33" s="39" t="inlineStr">
        <is>
          <t>PRC-CHG-001</t>
        </is>
      </c>
      <c r="B33" s="39" t="inlineStr">
        <is>
          <t>Minimal Procurement Proceedings</t>
        </is>
      </c>
      <c r="C33" s="39" t="inlineStr">
        <is>
          <t>0.12</t>
        </is>
      </c>
      <c r="D33" s="39" t="inlineStr">
        <is>
          <t>Procurement Proceedings</t>
        </is>
      </c>
      <c r="E33" s="39" t="inlineStr">
        <is>
          <t>Module requirements</t>
        </is>
      </c>
      <c r="F33" s="39" t="inlineStr">
        <is>
          <t>Approved requirement</t>
        </is>
      </c>
      <c r="G33" s="40" t="n">
        <v>46303</v>
      </c>
      <c r="H33" s="39" t="inlineStr">
        <is>
          <t>v0.11 on approval; v0.9; prior approvals retained</t>
        </is>
      </c>
      <c r="I33" s="39" t="inlineStr">
        <is>
          <t>Not started</t>
        </is>
      </c>
      <c r="J33" s="39" t="inlineStr">
        <is>
          <t>Not started</t>
        </is>
      </c>
      <c r="K33" s="39" t="inlineStr">
        <is>
          <t>Not approved</t>
        </is>
      </c>
      <c r="L33" s="39" t="inlineStr">
        <is>
          <t>Yes</t>
        </is>
      </c>
      <c r="M33" s="39" t="inlineStr">
        <is>
          <t>v0.12 (approved 8 October 2026): one clause of section 20 — the Head of Procurement Function holds no preparation task. Approved minimal shared service bound to BOP v0.10: attributed pre-session arrivals carried into actual session view, owner events, versioned opening record, personal target proof, one-action empty outcome and terminal partial/never-held records. No standalone UI.</t>
        </is>
      </c>
      <c r="N33" s="39" t="inlineStr">
        <is>
          <t>BOP-CHG-001 v0.10 approved; KT-STD-001 v1.10 approved; TPR-CHG-001 v0.13 approved (v0.14 proposed); TRUST-ADR-001 v0.1 approved; LAW-V-001</t>
        </is>
      </c>
      <c r="O33" s="39" t="inlineStr">
        <is>
          <t>Approved 8 October 2026 (v0.12). Complete outstanding design/implementation verification; CM and template walkthrough remain deferred. v0.13 proposed 10 October 2026: test labels withdrawn from section 1 and section 13 (Project Owner, 10 October 2026). v0.12 remains the approved baseline until the Project Owner approves v0.13.</t>
        </is>
      </c>
      <c r="P33" s="39" t="inlineStr">
        <is>
          <t>KenTender_PRC-CHG-001_Minimal_Procurement_Proceedings_v0_12.md</t>
        </is>
      </c>
      <c r="Q33" s="35" t="inlineStr">
        <is>
          <t>0.13</t>
        </is>
      </c>
      <c r="R33" s="35" t="inlineStr">
        <is>
          <t>KenTender_PRC-CHG-001_Minimal_Procurement_Proceedings_v0_13.md</t>
        </is>
      </c>
      <c r="S33" s="17" t="n"/>
      <c r="T33" s="17" t="n"/>
      <c r="U33" s="17" t="n"/>
      <c r="V33" s="17" t="n"/>
      <c r="W33" s="17" t="n"/>
      <c r="X33" s="17" t="n"/>
      <c r="Y33" s="17" t="n"/>
      <c r="Z33" s="17" t="n"/>
    </row>
    <row r="34" ht="130" customHeight="1" s="15">
      <c r="A34" s="39" t="inlineStr">
        <is>
          <t>EVL-CHG-001</t>
        </is>
      </c>
      <c r="B34" s="39" t="inlineStr">
        <is>
          <t>Bid Evaluation</t>
        </is>
      </c>
      <c r="C34" s="39" t="inlineStr">
        <is>
          <t>0.8</t>
        </is>
      </c>
      <c r="D34" s="39" t="inlineStr">
        <is>
          <t>Bid Evaluation</t>
        </is>
      </c>
      <c r="E34" s="39" t="inlineStr">
        <is>
          <t>Module requirements</t>
        </is>
      </c>
      <c r="F34" s="39" t="inlineStr">
        <is>
          <t>Approved requirement</t>
        </is>
      </c>
      <c r="G34" s="40" t="n">
        <v>46303</v>
      </c>
      <c r="H34" s="39" t="inlineStr">
        <is>
          <t>v0.7 on approval; v0.5 on approval; v0.6 (Proposed, never approved) superseded; v0.3 proposed detail; approved high-level automation approach retained</t>
        </is>
      </c>
      <c r="I34" s="39" t="inlineStr">
        <is>
          <t>In progress</t>
        </is>
      </c>
      <c r="J34" s="39" t="inlineStr">
        <is>
          <t>Pending</t>
        </is>
      </c>
      <c r="K34" s="39" t="inlineStr">
        <is>
          <t>Not approved</t>
        </is>
      </c>
      <c r="L34" s="39" t="inlineStr">
        <is>
          <t>Yes</t>
        </is>
      </c>
      <c r="M34" s="39" t="inlineStr">
        <is>
          <t>v0.8 (approved 8 October 2026): the Head of Procurement Function is recorded as evaluation secretary by office when the Accounting Officer appoints the committee; Delegate secretary duties is the Head's written appointment of another procurement officer; the separate secretary-assignment task is retired. Automatic evaluation, focused committee review and signed report. Second-review corrections align commands, tasks, source issues, scope gates and dated fixtures. v0.7 reads the committee member department from the staff home organisation unit (snapshotted; a missing department does not block an appointment and is completed once) and has the system generate the appointment reference.</t>
        </is>
      </c>
      <c r="N34" s="39" t="inlineStr">
        <is>
          <t>KT-STD-001 v1.12; BOP v0.10; BDS v0.8; PRC v0.9; TRUST v0.1; TPR v0.13; STD-TPL v0.10. Coordinated owner amendments drafted: PRC v0.10, TPR v0.15, BDS v0.10, KT-STD v1.13; approval/integration outstanding. v0.7 adds AUTH-ADR-001 v1.12; CFG-CHG-002 v0.19; KT-STD-001 v1.26.</t>
        </is>
      </c>
      <c r="O34" s="39" t="inlineStr">
        <is>
          <t>Approved 8 October 2026 (v0.8). Complete outstanding design/implementation verification; CM and template walkthrough remain deferred. v0.9 proposed 10 October 2026: the tender-security intake exclusion. v0.8 remains the approved baseline until the Project Owner approves v0.9.</t>
        </is>
      </c>
      <c r="P34" s="39" t="inlineStr">
        <is>
          <t>KenTender_EVL-CHG-001_Bid_Evaluation_v0_8.md</t>
        </is>
      </c>
      <c r="Q34" s="35" t="inlineStr">
        <is>
          <t>0.9</t>
        </is>
      </c>
      <c r="R34" s="35" t="inlineStr">
        <is>
          <t>KenTender_EVL-CHG-001_Bid_Evaluation_v0_9.md</t>
        </is>
      </c>
      <c r="S34" s="17" t="n"/>
      <c r="T34" s="17" t="n"/>
      <c r="U34" s="17" t="n"/>
      <c r="V34" s="17" t="n"/>
      <c r="W34" s="17" t="n"/>
      <c r="X34" s="17" t="n"/>
      <c r="Y34" s="17" t="n"/>
      <c r="Z34" s="17" t="n"/>
    </row>
    <row r="35" ht="130" customHeight="1" s="15">
      <c r="A35" s="39" t="inlineStr">
        <is>
          <t>AWD-CHG-001</t>
        </is>
      </c>
      <c r="B35" s="39" t="inlineStr">
        <is>
          <t>Award</t>
        </is>
      </c>
      <c r="C35" s="39" t="inlineStr">
        <is>
          <t>0.5</t>
        </is>
      </c>
      <c r="D35" s="39" t="inlineStr">
        <is>
          <t>Award</t>
        </is>
      </c>
      <c r="E35" s="39" t="inlineStr">
        <is>
          <t>Module requirements</t>
        </is>
      </c>
      <c r="F35" s="39" t="inlineStr">
        <is>
          <t>Approved requirement</t>
        </is>
      </c>
      <c r="G35" s="40" t="n">
        <v>46298</v>
      </c>
      <c r="H35" s="39" t="inlineStr">
        <is>
          <t>v0.3; prior versions retained</t>
        </is>
      </c>
      <c r="I35" s="39" t="inlineStr">
        <is>
          <t>In progress</t>
        </is>
      </c>
      <c r="J35" s="39" t="inlineStr">
        <is>
          <t>Pending</t>
        </is>
      </c>
      <c r="K35" s="39" t="inlineStr">
        <is>
          <t>Not approved</t>
        </is>
      </c>
      <c r="L35" s="39" t="inlineStr">
        <is>
          <t>Yes</t>
        </is>
      </c>
      <c r="M35" s="39" t="inlineStr">
        <is>
          <t>Professional opinion, AO decision, bidder notices, acceptance, waiting conditions and delivery to Contracting.</t>
        </is>
      </c>
      <c r="N35" s="39" t="inlineStr">
        <is>
          <t>EVL v0.4; STD-TPL v0.10; KT-STD v1.12; TPR v0.13; BDS v0.8; PRC v0.9; TRUST v0.1; effective AUTH/Budget. Proposed owner interfaces: AWD-IF-01–07.</t>
        </is>
      </c>
      <c r="O35" s="39" t="inlineStr">
        <is>
          <t>Approved 3 October 2026. Complete outstanding design/implementation verification; CM and template walkthrough remain deferred. v0.6 proposed 10 October 2026: test-mode environment notice and visible adapter labelling withdrawn from sections 10 and 13; the Simulation only operating-profile setting stays as a guard (Project Owner, 10 October 2026). v0.5 remains the approved baseline until the Project Owner approves v0.6.</t>
        </is>
      </c>
      <c r="P35" s="39" t="inlineStr">
        <is>
          <t>KenTender_AWD-CHG-001_Award_v0_5.md</t>
        </is>
      </c>
      <c r="Q35" s="35" t="inlineStr">
        <is>
          <t>0.6</t>
        </is>
      </c>
      <c r="R35" s="35" t="inlineStr">
        <is>
          <t>KenTender_AWD-CHG-001_Award_v0_6.md</t>
        </is>
      </c>
      <c r="S35" s="17" t="n"/>
      <c r="T35" s="17" t="n"/>
      <c r="U35" s="17" t="n"/>
      <c r="V35" s="17" t="n"/>
      <c r="W35" s="17" t="n"/>
      <c r="X35" s="17" t="n"/>
      <c r="Y35" s="17" t="n"/>
      <c r="Z35" s="17" t="n"/>
    </row>
    <row r="36" ht="150" customHeight="1" s="15">
      <c r="A36" s="35" t="inlineStr">
        <is>
          <t>OVS-CHG-001</t>
        </is>
      </c>
      <c r="B36" s="35" t="inlineStr">
        <is>
          <t>System Usability and Decision Visibility</t>
        </is>
      </c>
      <c r="C36" s="35" t="inlineStr">
        <is>
          <t>0.6</t>
        </is>
      </c>
      <c r="D36" s="35" t="inlineStr">
        <is>
          <t>All MVP 1 modules</t>
        </is>
      </c>
      <c r="E36" s="35" t="inlineStr">
        <is>
          <t>Cross-module change</t>
        </is>
      </c>
      <c r="F36" s="35" t="inlineStr">
        <is>
          <t>Approved requirement</t>
        </is>
      </c>
      <c r="G36" s="35" t="n">
        <v>46298</v>
      </c>
      <c r="H36" s="35" t="inlineStr">
        <is>
          <t>v0.5 proposed</t>
        </is>
      </c>
      <c r="I36" s="35" t="inlineStr">
        <is>
          <t>Not started</t>
        </is>
      </c>
      <c r="J36" s="35" t="inlineStr">
        <is>
          <t>Not started</t>
        </is>
      </c>
      <c r="K36" s="35" t="inlineStr">
        <is>
          <t>Not released</t>
        </is>
      </c>
      <c r="L36" s="35" t="inlineStr">
        <is>
          <t>Yes</t>
        </is>
      </c>
      <c r="M36" s="35" t="inlineStr">
        <is>
          <t>Shared usability; owner-specific read additions; independent CM</t>
        </is>
      </c>
      <c r="N36" s="35" t="inlineStr">
        <is>
          <t>Current owners in supplied archive; source gaps in impact schedule</t>
        </is>
      </c>
      <c r="O36" s="35" t="inlineStr">
        <is>
          <t>Approved 3 October 2026. Complete outstanding design/implementation verification; CM and template walkthrough remain deferred.</t>
        </is>
      </c>
      <c r="P36" s="35" t="inlineStr">
        <is>
          <t>KenTender_OVS-CHG-001_System_Usability_and_Decision_Visibility_v0_6.md</t>
        </is>
      </c>
      <c r="Q36" s="35" t="n"/>
      <c r="R36" s="35" t="n"/>
      <c r="S36" s="17" t="n"/>
      <c r="T36" s="17" t="n"/>
      <c r="U36" s="17" t="n"/>
      <c r="V36" s="17" t="n"/>
      <c r="W36" s="17" t="n"/>
      <c r="X36" s="17" t="n"/>
      <c r="Y36" s="17" t="n"/>
      <c r="Z36" s="17" t="n"/>
    </row>
    <row r="37" ht="130" customHeight="1" s="15">
      <c r="A37" s="35" t="inlineStr">
        <is>
          <t>CTX-CHG-001</t>
        </is>
      </c>
      <c r="B37" s="35" t="inlineStr">
        <is>
          <t>Working Context</t>
        </is>
      </c>
      <c r="C37" s="35" t="inlineStr">
        <is>
          <t>1.1</t>
        </is>
      </c>
      <c r="D37" s="35" t="inlineStr">
        <is>
          <t>Shared context</t>
        </is>
      </c>
      <c r="E37" s="35" t="inlineStr">
        <is>
          <t>Cross-module context</t>
        </is>
      </c>
      <c r="F37" s="35" t="inlineStr">
        <is>
          <t>Approved requirement</t>
        </is>
      </c>
      <c r="G37" s="58" t="n">
        <v>46298</v>
      </c>
      <c r="H37" s="35" t="str"/>
      <c r="I37" s="35" t="inlineStr">
        <is>
          <t>v1.0 claims implemented; not reverified</t>
        </is>
      </c>
      <c r="J37" s="35" t="inlineStr">
        <is>
          <t>Not reverified</t>
        </is>
      </c>
      <c r="K37" s="35" t="inlineStr">
        <is>
          <t>Not established</t>
        </is>
      </c>
      <c r="L37" s="35" t="inlineStr">
        <is>
          <t>Yes</t>
        </is>
      </c>
      <c r="M37" s="35" t="inlineStr">
        <is>
          <t>Working filters; proposed retirement of obsolete PE and permission model</t>
        </is>
      </c>
      <c r="N37" s="35" t="inlineStr">
        <is>
          <t>AUTH v1.10; CFG; KT-STD v1.14; OVS v0.6</t>
        </is>
      </c>
      <c r="O37" s="35" t="inlineStr">
        <is>
          <t>Approved 3 October 2026. Complete outstanding design/implementation verification; CM and template walkthrough remain deferred.</t>
        </is>
      </c>
      <c r="P37" s="35" t="inlineStr">
        <is>
          <t>KenTender_CTX-CHG-001_Working_Context_v1_1.md</t>
        </is>
      </c>
      <c r="Q37" s="35" t="n"/>
      <c r="R37" s="35" t="n"/>
      <c r="S37" s="17" t="n"/>
      <c r="T37" s="17" t="n"/>
      <c r="U37" s="17" t="n"/>
      <c r="V37" s="17" t="n"/>
      <c r="W37" s="17" t="n"/>
      <c r="X37" s="17" t="n"/>
      <c r="Y37" s="17" t="n"/>
      <c r="Z37" s="17" t="n"/>
    </row>
    <row r="38" ht="130" customHeight="1" s="15">
      <c r="A38" s="35" t="inlineStr">
        <is>
          <t>SEED-002</t>
        </is>
      </c>
      <c r="B38" s="35" t="inlineStr">
        <is>
          <t>Canonical Seed World</t>
        </is>
      </c>
      <c r="C38" s="35" t="inlineStr">
        <is>
          <t>0.7</t>
        </is>
      </c>
      <c r="D38" s="35" t="inlineStr">
        <is>
          <t>Cross-module</t>
        </is>
      </c>
      <c r="E38" s="35" t="inlineStr">
        <is>
          <t>Fixture standard and operational runbook</t>
        </is>
      </c>
      <c r="F38" s="35" t="inlineStr">
        <is>
          <t>Approved requirement</t>
        </is>
      </c>
      <c r="G38" s="58" t="n">
        <v>46306</v>
      </c>
      <c r="H38" s="35" t="inlineStr">
        <is>
          <t>v0.3; v0.4 to v0.6 proposals carried in full</t>
        </is>
      </c>
      <c r="I38" s="35" t="inlineStr">
        <is>
          <t>Implemented</t>
        </is>
      </c>
      <c r="J38" s="35" t="inlineStr">
        <is>
          <t>Pending</t>
        </is>
      </c>
      <c r="K38" s="35" t="inlineStr">
        <is>
          <t>Not applicable</t>
        </is>
      </c>
      <c r="L38" s="35" t="inlineStr">
        <is>
          <t>Yes</t>
        </is>
      </c>
      <c r="M38" s="35" t="inlineStr">
        <is>
          <t>The canonical world — FY 2026/27 carried out (Active plan, laptops Tender and an executed portfolio of eleven more items) and FY 2027/28 prepared, read as at 18 June 2027 10:00 EAT — how to seed it (make seed-canonical CURRENT=/NEXT=) and how a module adds to it; carry-over register of every SEED-001 and SEED-OPS-001 rule.</t>
        </is>
      </c>
      <c r="N38" s="35" t="inlineStr">
        <is>
          <t>Two-year seed world proposal decisions D1–D12 (4 October 2026); KT-STD-001 §8.1–§8.3; KT-STD-001 §8.4/§8.4A correction (Appendix C) owed by the Project Owner</t>
        </is>
      </c>
      <c r="O38" s="35" t="inlineStr">
        <is>
          <t>Approved 8 October 2026 (Project Owner, 8 October 2026, verbatim: “SEED-002 v0.3 is approved.”, answering the report that EVL-CHG-001 v0.8, KT-STD-001 v1.27 and PRC-CHG-001 v0.12 were approved and SEED-002 v0.3 remained Proposed because its approval also retires SEED-001 and SEED-OPS-001). v0.3 is the one proposal (v0.2 and v0.1 superseded). Complete outstanding verification; approval does not establish implementation or verification. v0.3 (8 October 2026) adds the evaluation secretary by office and by delegation (the proposed EVL-CHG-001 and KT-STD-001 successors); it supersedes v0.2 (staff home organisation units) and v0.1 as the one proposal. sha256 59c69575a333d7bfeb215b4b3e876c0665ef752267ac6ceebfbedf065cac49ef. Built and validated on kentender-test.local on 5 October 2026 (commit bedf8a5b and later); approval does not establish verification. v0.5 proposed 10 October 2026: the tender-security intake duty and its fixtures. v0.3 remains the approved baseline until the Project Owner approves the successor. v0.6 proposed 10 October 2026: every canonical Tender states its tender-security method and original delivery; the supplier-facing status validation; carries v0.5 in full. The approved baseline is unchanged until the Project Owner approves v0.6. v0.7 proposed 11 October 2026: canonical Tenders state the bidder-uploads method and are bound to template release 1.5; carries v0.6 in full. The approved baseline is unchanged until the Project Owner approves v0.7. Approved 2026-10-11 (v0.7): Project Owner, 11 October 2026: “Mark the documents as approved”, answering the report of the proposed set BDS-CHG-001 v0.16, TPR-CHG-001 v0.20, STD-TPL-001 v0.17, BOP-CHG-001 v0.15, TRUST-ADR-001 v0.6, AUTH-ADR-001 v1.15, SEED-002 v0.7 and TRUST-OPS-001 v0.1. The proposals each carries in full are approved with it. Approval is not evidence of implementation, verification or release.</t>
        </is>
      </c>
      <c r="P38" s="35" t="inlineStr">
        <is>
          <t>Repository: docs/mvp-1-r1/20_seed_data/KenTender_SEED-002_Canonical_Seed_World_v0_7.md</t>
        </is>
      </c>
      <c r="Q38" s="35" t="n"/>
      <c r="R38" s="35" t="n"/>
      <c r="S38" s="17" t="n"/>
      <c r="T38" s="17" t="n"/>
      <c r="U38" s="17" t="n"/>
      <c r="V38" s="17" t="n"/>
      <c r="W38" s="17" t="n"/>
      <c r="X38" s="17" t="n"/>
      <c r="Y38" s="17" t="n"/>
      <c r="Z38" s="17" t="n"/>
    </row>
    <row r="39" ht="130" customHeight="1" s="15">
      <c r="A39" s="35" t="inlineStr">
        <is>
          <t>HOME-CHG-001</t>
        </is>
      </c>
      <c r="B39" s="35" t="inlineStr">
        <is>
          <t>Home</t>
        </is>
      </c>
      <c r="C39" s="35" t="inlineStr">
        <is>
          <t>0.6</t>
        </is>
      </c>
      <c r="D39" s="35" t="inlineStr">
        <is>
          <t>Core (Home page)</t>
        </is>
      </c>
      <c r="E39" s="35" t="inlineStr">
        <is>
          <t>Cross-module change</t>
        </is>
      </c>
      <c r="F39" s="35" t="inlineStr">
        <is>
          <t>Approved requirement</t>
        </is>
      </c>
      <c r="G39" s="58" t="n">
        <v>46299</v>
      </c>
      <c r="H39" s="35" t="inlineStr">
        <is>
          <t>v0.4 approved baseline; v0.5 proposed</t>
        </is>
      </c>
      <c r="I39" s="35" t="inlineStr">
        <is>
          <t>In progress</t>
        </is>
      </c>
      <c r="J39" s="35" t="inlineStr">
        <is>
          <t>Pending</t>
        </is>
      </c>
      <c r="K39" s="35" t="inlineStr">
        <is>
          <t>Not approved</t>
        </is>
      </c>
      <c r="L39" s="35" t="inlineStr">
        <is>
          <t>Yes</t>
        </is>
      </c>
      <c r="M39" s="35" t="inlineStr">
        <is>
          <t>Cross-module Home page at /app/home: header, three summary columns, My work, Coming up, Waiting on others, Records you oversee and Recently completed actions; read-only and server-composed.</t>
        </is>
      </c>
      <c r="N39" s="35" t="inlineStr">
        <is>
          <t>KT-STD-001 v1.22; OVS-CHG-001 v0.6; AUTH-ADR-001 v1.11; CTX-CHG-001 v1.1; owner documents named in its Sources</t>
        </is>
      </c>
      <c r="O39" s="35" t="inlineStr">
        <is>
          <t>Approved 4 October 2026. Built through Phase 5 (implementation tracker docs/mvp-1-r1/18_home_page); release gate, fidelity gate and owner-gated rows open.</t>
        </is>
      </c>
      <c r="P39" s="35" t="inlineStr">
        <is>
          <t>KenTender_HOME-CHG-001_Home_v0_6.md</t>
        </is>
      </c>
      <c r="Q39" s="35" t="n"/>
      <c r="R39" s="35" t="n"/>
      <c r="S39" s="17" t="n"/>
      <c r="T39" s="17" t="n"/>
      <c r="U39" s="17" t="n"/>
      <c r="V39" s="17" t="n"/>
      <c r="W39" s="17" t="n"/>
      <c r="X39" s="17" t="n"/>
      <c r="Y39" s="17" t="n"/>
      <c r="Z39" s="17" t="n"/>
    </row>
    <row r="40" ht="130" customHeight="1" s="15">
      <c r="A40" s="35" t="inlineStr">
        <is>
          <t>ANL-CHG-001</t>
        </is>
      </c>
      <c r="B40" s="35" t="inlineStr">
        <is>
          <t>Procurement Analytics</t>
        </is>
      </c>
      <c r="C40" s="35" t="inlineStr">
        <is>
          <t>0.8</t>
        </is>
      </c>
      <c r="D40" s="35" t="inlineStr">
        <is>
          <t>Core (Analytics)</t>
        </is>
      </c>
      <c r="E40" s="35" t="inlineStr">
        <is>
          <t>Cross-module change</t>
        </is>
      </c>
      <c r="F40" s="35" t="inlineStr">
        <is>
          <t>Approved requirement</t>
        </is>
      </c>
      <c r="G40" s="58" t="n">
        <v>46299</v>
      </c>
      <c r="H40" s="35" t="inlineStr">
        <is>
          <t>v0.6 approved baseline; v0.7 proposed</t>
        </is>
      </c>
      <c r="I40" s="35" t="inlineStr">
        <is>
          <t>In progress</t>
        </is>
      </c>
      <c r="J40" s="35" t="inlineStr">
        <is>
          <t>Pending</t>
        </is>
      </c>
      <c r="K40" s="35" t="inlineStr">
        <is>
          <t>Not approved</t>
        </is>
      </c>
      <c r="L40" s="35" t="inlineStr">
        <is>
          <t>Yes</t>
        </is>
      </c>
      <c r="M40" s="35" t="inlineStr">
        <is>
          <t>Read-only Procurement Analytics at /app/analytics over published owner reads.</t>
        </is>
      </c>
      <c r="N40" s="35" t="inlineStr">
        <is>
          <t>KT-STD-001 v1.22; OVS-CHG-001 v0.6; AUTH-ADR-001 v1.11; CTX-CHG-001 v1.1; owner documents named in its Sources</t>
        </is>
      </c>
      <c r="O40" s="35" t="inlineStr">
        <is>
          <t>Approved 4 October 2026. Built and walked on the test site (implementation tracker docs/mvp-1-r1/19_analytics); owner-gated rows open.</t>
        </is>
      </c>
      <c r="P40" s="35" t="inlineStr">
        <is>
          <t>KenTender_ANL-CHG-001_Procurement_Analytics_v0_8.md</t>
        </is>
      </c>
      <c r="Q40" s="35" t="n"/>
      <c r="R40" s="35" t="n"/>
      <c r="S40" s="17" t="n"/>
      <c r="T40" s="17" t="n"/>
      <c r="U40" s="17" t="n"/>
      <c r="V40" s="17" t="n"/>
      <c r="W40" s="17" t="n"/>
      <c r="X40" s="17" t="n"/>
      <c r="Y40" s="17" t="n"/>
      <c r="Z40" s="17" t="n"/>
    </row>
    <row r="41" ht="130" customHeight="1" s="15">
      <c r="A41" s="35" t="inlineStr">
        <is>
          <t>TRUST-OPS-001</t>
        </is>
      </c>
      <c r="B41" s="35" t="inlineStr">
        <is>
          <t>Sealed-Bid Incident Recovery Procedure</t>
        </is>
      </c>
      <c r="C41" s="35" t="inlineStr">
        <is>
          <t>0.1</t>
        </is>
      </c>
      <c r="D41" s="35" t="inlineStr">
        <is>
          <t>Shared Trust Infrastructure</t>
        </is>
      </c>
      <c r="E41" s="35" t="inlineStr">
        <is>
          <t>Operational procedure</t>
        </is>
      </c>
      <c r="F41" s="35" t="inlineStr">
        <is>
          <t>Approved requirement</t>
        </is>
      </c>
      <c r="G41" s="58" t="n">
        <v>46306</v>
      </c>
      <c r="H41" s="35" t="n"/>
      <c r="I41" s="35" t="inlineStr">
        <is>
          <t>Not started</t>
        </is>
      </c>
      <c r="J41" s="35" t="inlineStr">
        <is>
          <t>Not started</t>
        </is>
      </c>
      <c r="K41" s="35" t="inlineStr">
        <is>
          <t>Blocked</t>
        </is>
      </c>
      <c r="L41" s="35" t="inlineStr">
        <is>
          <t>Yes</t>
        </is>
      </c>
      <c r="M41" s="35" t="inlineStr">
        <is>
          <t>The PR-001 incident-recovery procedure: incident declaration, authorised support access, permitted diagnostics, recovery without exposing sealed contents, evidence preservation, escalation when opening cannot proceed, closure review and a pre-production test plan. Exceptional access to sealed contents is out of scope.</t>
        </is>
      </c>
      <c r="N41" s="35" t="inlineStr">
        <is>
          <t>TRUST-ADR-001; BOP-CHG-001; BDS-CHG-001; AUTH-ADR-001</t>
        </is>
      </c>
      <c r="O41" s="35" t="inlineStr">
        <is>
          <t>Proposed 11 October 2026 (v0.1). Not operational until the Project Owner approves it and the section 11 tests pass; PR-001 closes only then. Severity classes, time targets, review period and retention are drafter proposals for the Owner’s decision. Approved 2026-10-11 (v0.1): Project Owner, 11 October 2026: “Mark the documents as approved”, answering the report of the proposed set BDS-CHG-001 v0.16, TPR-CHG-001 v0.20, STD-TPL-001 v0.17, BOP-CHG-001 v0.15, TRUST-ADR-001 v0.6, AUTH-ADR-001 v1.15, SEED-002 v0.7 and TRUST-OPS-001 v0.1. The proposals each carries in full are approved with it. Approval is not evidence of implementation, verification or release.</t>
        </is>
      </c>
      <c r="P41" s="35" t="inlineStr">
        <is>
          <t>Repository: docs/mvp-1-r1/00_common/KenTender_TRUST-OPS-001_Sealed_Bid_Incident_Recovery_Procedure_v0_1.md</t>
        </is>
      </c>
      <c r="Q41" s="35" t="n"/>
      <c r="R41" s="35" t="n"/>
      <c r="S41" s="17" t="n"/>
      <c r="T41" s="17" t="n"/>
      <c r="U41" s="17" t="n"/>
      <c r="V41" s="17" t="n"/>
      <c r="W41" s="17" t="n"/>
      <c r="X41" s="17" t="n"/>
      <c r="Y41" s="17" t="n"/>
      <c r="Z41" s="17" t="n"/>
    </row>
    <row r="42" ht="15" customHeight="1" s="15">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row>
    <row r="43" ht="15" customHeight="1" s="15">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row>
    <row r="44" ht="15" customHeight="1" s="15">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row>
    <row r="45" ht="15" customHeight="1" s="1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row>
    <row r="46" ht="15" customHeight="1" s="15">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row>
    <row r="47" ht="15" customHeight="1" s="15">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row>
    <row r="48" ht="15" customHeight="1" s="15">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row>
    <row r="49" ht="15" customHeight="1" s="15">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row>
    <row r="50" ht="15" customHeight="1" s="15">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row>
    <row r="51" ht="15" customHeight="1" s="15">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row>
    <row r="52" ht="15" customHeight="1" s="15">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row>
    <row r="53" ht="15" customHeight="1" s="15">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row>
    <row r="54" ht="15" customHeight="1" s="15">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row>
    <row r="55" ht="15" customHeight="1" s="1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row>
    <row r="56" ht="15" customHeight="1" s="15">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row>
    <row r="57" ht="15" customHeight="1" s="15">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row>
    <row r="58" ht="15" customHeight="1" s="15">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row>
    <row r="59" ht="15" customHeight="1" s="15">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row>
    <row r="60" ht="15" customHeight="1" s="15">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row>
    <row r="61" ht="15" customHeight="1" s="15">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row>
    <row r="62" ht="15" customHeight="1" s="15">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row>
    <row r="63" ht="15" customHeight="1" s="15">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row>
    <row r="64" ht="15" customHeight="1" s="15">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row>
    <row r="65" ht="15" customHeight="1" s="15">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row>
    <row r="66" ht="15" customHeight="1" s="15">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row>
    <row r="67" ht="15" customHeight="1" s="15">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row>
    <row r="68" ht="15" customHeight="1" s="15">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row>
    <row r="69" ht="15" customHeight="1" s="15">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row>
    <row r="70" ht="15" customHeight="1" s="15">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row>
    <row r="71" ht="15" customHeight="1" s="15">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row>
    <row r="72" ht="15" customHeight="1" s="15">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row>
    <row r="73" ht="15" customHeight="1" s="15">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row>
    <row r="74" ht="15" customHeight="1" s="15">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row>
    <row r="75" ht="15" customHeight="1" s="15">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row>
    <row r="76" ht="15" customHeight="1" s="15">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row>
    <row r="77" ht="15" customHeight="1" s="15">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row>
    <row r="78" ht="15" customHeight="1" s="15">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row>
    <row r="79" ht="15" customHeight="1" s="15">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row>
    <row r="80" ht="15" customHeight="1" s="15">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row>
    <row r="81" ht="15" customHeight="1" s="15">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row>
    <row r="82" ht="15" customHeight="1" s="15">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row>
    <row r="83" ht="15" customHeight="1" s="15">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row>
    <row r="84" ht="15" customHeight="1" s="15">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row>
    <row r="85" ht="15" customHeight="1" s="15">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row>
    <row r="86" ht="15" customHeight="1" s="15">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row>
    <row r="87" ht="15" customHeight="1" s="15">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row>
    <row r="88" ht="15" customHeight="1" s="15">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row>
    <row r="89" ht="15" customHeight="1" s="15">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row>
    <row r="90" ht="15" customHeight="1" s="15">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row>
    <row r="91" ht="15" customHeight="1" s="15">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row>
    <row r="92" ht="15" customHeight="1" s="15">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row>
    <row r="93" ht="15" customHeight="1" s="15">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row>
    <row r="94" ht="15" customHeight="1" s="15">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row>
    <row r="95" ht="15" customHeight="1" s="15">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row>
    <row r="96" ht="15" customHeight="1" s="15">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row>
    <row r="97" ht="15" customHeight="1" s="15">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row>
    <row r="98" ht="15" customHeight="1" s="15">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row>
    <row r="99" ht="15" customHeight="1" s="15">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row>
    <row r="100" ht="15" customHeight="1" s="15">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row>
    <row r="101" ht="15" customHeight="1" s="15">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row>
    <row r="102" ht="15" customHeight="1" s="15">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row>
    <row r="103" ht="15" customHeight="1" s="15">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row>
    <row r="104" ht="15" customHeight="1" s="15">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row>
    <row r="105" ht="15" customHeight="1" s="15">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row>
    <row r="106" ht="15" customHeight="1" s="15">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row>
    <row r="107" ht="15" customHeight="1" s="15">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row>
    <row r="108" ht="15" customHeight="1" s="15">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row>
    <row r="109" ht="15" customHeight="1" s="15">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row>
    <row r="110" ht="15" customHeight="1" s="15">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row>
    <row r="111" ht="15" customHeight="1" s="15">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row>
    <row r="112" ht="15" customHeight="1" s="15">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row>
    <row r="113" ht="15" customHeight="1" s="15">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row>
    <row r="114" ht="15" customHeight="1" s="15">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row>
    <row r="115" ht="15" customHeight="1" s="15">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row>
    <row r="116" ht="15" customHeight="1" s="15">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row>
    <row r="117" ht="15" customHeight="1" s="15">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row>
    <row r="118" ht="15" customHeight="1" s="15">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row>
    <row r="119" ht="15" customHeight="1" s="15">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row>
    <row r="120" ht="15" customHeight="1" s="15">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row>
    <row r="121" ht="15" customHeight="1" s="15">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row>
    <row r="122" ht="15" customHeight="1" s="15">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row>
    <row r="123" ht="15" customHeight="1" s="15">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row>
    <row r="124" ht="15" customHeight="1" s="15">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row>
    <row r="125" ht="15" customHeight="1" s="15">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row>
    <row r="126" ht="15" customHeight="1" s="15">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row>
    <row r="127" ht="15" customHeight="1" s="15">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row>
    <row r="128" ht="15" customHeight="1" s="15">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row>
    <row r="129" ht="15" customHeight="1" s="15">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row>
    <row r="130" ht="15" customHeight="1" s="15">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row>
    <row r="131" ht="15" customHeight="1" s="15">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row>
    <row r="132" ht="15" customHeight="1" s="15">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row>
    <row r="133" ht="15" customHeight="1" s="15">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row>
    <row r="134" ht="15" customHeight="1" s="15">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row>
    <row r="135" ht="15" customHeight="1" s="15">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row>
    <row r="136" ht="15" customHeight="1" s="15">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row>
    <row r="137" ht="15" customHeight="1" s="15">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row>
    <row r="138" ht="15" customHeight="1" s="15">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row>
    <row r="139" ht="15" customHeight="1" s="15">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row>
    <row r="140" ht="15" customHeight="1" s="15">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row>
    <row r="141" ht="15" customHeight="1" s="15">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row>
    <row r="142" ht="15" customHeight="1" s="15">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row>
    <row r="143" ht="15" customHeight="1" s="15">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row>
    <row r="144" ht="15" customHeight="1" s="15">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row>
    <row r="145" ht="15" customHeight="1" s="15">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row>
    <row r="146" ht="15" customHeight="1" s="15">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row>
    <row r="147" ht="15" customHeight="1" s="15">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row>
    <row r="148" ht="15" customHeight="1" s="15">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row>
    <row r="149" ht="15" customHeight="1" s="15">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row>
    <row r="150" ht="15" customHeight="1" s="15">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row>
    <row r="151" ht="15" customHeight="1" s="15">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row>
    <row r="152" ht="15" customHeight="1" s="15">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row>
    <row r="153" ht="15" customHeight="1" s="15">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row>
    <row r="154" ht="15" customHeight="1" s="15">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row>
    <row r="155" ht="15" customHeight="1" s="15">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row>
    <row r="156" ht="15" customHeight="1" s="15">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row>
    <row r="157" ht="15" customHeight="1" s="15">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row>
    <row r="158" ht="15" customHeight="1" s="15">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row>
    <row r="159" ht="15" customHeight="1" s="15">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row>
    <row r="160" ht="15" customHeight="1" s="15">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row>
    <row r="161" ht="15" customHeight="1" s="15">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row>
    <row r="162" ht="15" customHeight="1" s="15">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row>
    <row r="163" ht="15" customHeight="1" s="15">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row>
    <row r="164" ht="15" customHeight="1" s="15">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row>
    <row r="165" ht="15" customHeight="1" s="15">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row>
    <row r="166" ht="15" customHeight="1" s="15">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row>
    <row r="167" ht="15" customHeight="1" s="15">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row>
    <row r="168" ht="15" customHeight="1" s="15">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row>
    <row r="169" ht="15" customHeight="1" s="15">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row>
    <row r="170" ht="15" customHeight="1" s="15">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row>
    <row r="171" ht="15" customHeight="1" s="15">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row>
    <row r="172" ht="15" customHeight="1" s="15">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row>
    <row r="173" ht="15" customHeight="1" s="15">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row>
    <row r="174" ht="15" customHeight="1" s="15">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row>
    <row r="175" ht="15" customHeight="1" s="15">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row>
    <row r="176" ht="15" customHeight="1" s="15">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row>
    <row r="177" ht="15" customHeight="1" s="15">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row>
    <row r="178" ht="15" customHeight="1" s="15">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row>
    <row r="179" ht="15" customHeight="1" s="15">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row>
    <row r="180" ht="15" customHeight="1" s="15">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row>
    <row r="181" ht="15" customHeight="1" s="15">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row>
    <row r="182" ht="15" customHeight="1" s="15">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row>
    <row r="183" ht="15" customHeight="1" s="15">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row>
    <row r="184" ht="15" customHeight="1" s="15">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row>
    <row r="185" ht="15" customHeight="1" s="15">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row>
    <row r="186" ht="15" customHeight="1" s="15">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row>
    <row r="187" ht="15" customHeight="1" s="15">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row>
    <row r="188" ht="15" customHeight="1" s="15">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row>
    <row r="189" ht="15" customHeight="1" s="15">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row>
    <row r="190" ht="15" customHeight="1" s="15">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row>
    <row r="191" ht="15" customHeight="1" s="15">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row>
    <row r="192" ht="15" customHeight="1" s="15">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row>
    <row r="193" ht="15" customHeight="1" s="15">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row>
    <row r="194" ht="15" customHeight="1" s="15">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row>
    <row r="195" ht="15" customHeight="1" s="15">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row>
    <row r="196" ht="15" customHeight="1" s="15">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row>
    <row r="197" ht="15" customHeight="1" s="15">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row>
    <row r="198" ht="15" customHeight="1" s="15">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row>
    <row r="199" ht="15" customHeight="1" s="15">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row>
    <row r="200" ht="15" customHeight="1" s="15">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row>
  </sheetData>
  <mergeCells count="2">
    <mergeCell ref="A1:P1"/>
    <mergeCell ref="A2:P2"/>
  </mergeCells>
  <conditionalFormatting sqref="F6:F35">
    <cfRule type="containsText" rank="0" priority="2" equalAverage="0" operator="containsText" aboveAverage="0" dxfId="13" text="Approved" percent="0" bottom="0">
      <formula>NOT(ISERROR(SEARCH("Approved",F6)))</formula>
    </cfRule>
    <cfRule type="containsText" rank="0" priority="3" equalAverage="0" operator="containsText" aboveAverage="0" dxfId="13" text="Passed" percent="0" bottom="0">
      <formula>NOT(ISERROR(SEARCH("Passed",F6)))</formula>
    </cfRule>
    <cfRule type="containsText" rank="0" priority="4" equalAverage="0" operator="containsText" aboveAverage="0" dxfId="13" text="Released" percent="0" bottom="0">
      <formula>NOT(ISERROR(SEARCH("Released",F6)))</formula>
    </cfRule>
    <cfRule type="containsText" rank="0" priority="5" equalAverage="0" operator="containsText" aboveAverage="0" dxfId="1" text="Project Owner review" percent="0" bottom="0">
      <formula>NOT(ISERROR(SEARCH("Project Owner review",F6)))</formula>
    </cfRule>
    <cfRule type="containsText" rank="0" priority="6" equalAverage="0" operator="containsText" aboveAverage="0" dxfId="14" text="Pending" percent="0" bottom="0">
      <formula>NOT(ISERROR(SEARCH("Pending",F6)))</formula>
    </cfRule>
    <cfRule type="containsText" rank="0" priority="7" equalAverage="0" operator="containsText" aboveAverage="0" dxfId="0" text="Blocked" percent="0" bottom="0">
      <formula>NOT(ISERROR(SEARCH("Blocked",F6)))</formula>
    </cfRule>
    <cfRule type="containsText" rank="0" priority="8" equalAverage="0" operator="containsText" aboveAverage="0" dxfId="0" text="unresolved" percent="0" bottom="0">
      <formula>NOT(ISERROR(SEARCH("unresolved",F6)))</formula>
    </cfRule>
    <cfRule type="containsText" rank="0" priority="9" equalAverage="0" operator="containsText" aboveAverage="0" dxfId="15" text="Not started" percent="0" bottom="0">
      <formula>NOT(ISERROR(SEARCH("Not started",F6)))</formula>
    </cfRule>
    <cfRule type="containsText" rank="0" priority="10" equalAverage="0" operator="containsText" aboveAverage="0" dxfId="15" text="Not evidenced" percent="0" bottom="0">
      <formula>NOT(ISERROR(SEARCH("Not evidenced",F6)))</formula>
    </cfRule>
  </conditionalFormatting>
  <conditionalFormatting sqref="I6:I35">
    <cfRule type="containsText" rank="0" priority="11" equalAverage="0" operator="containsText" aboveAverage="0" dxfId="13" text="Approved" percent="0" bottom="0">
      <formula>NOT(ISERROR(SEARCH("Approved",I6)))</formula>
    </cfRule>
    <cfRule type="containsText" rank="0" priority="12" equalAverage="0" operator="containsText" aboveAverage="0" dxfId="13" text="Passed" percent="0" bottom="0">
      <formula>NOT(ISERROR(SEARCH("Passed",I6)))</formula>
    </cfRule>
    <cfRule type="containsText" rank="0" priority="13" equalAverage="0" operator="containsText" aboveAverage="0" dxfId="13" text="Released" percent="0" bottom="0">
      <formula>NOT(ISERROR(SEARCH("Released",I6)))</formula>
    </cfRule>
    <cfRule type="containsText" rank="0" priority="14" equalAverage="0" operator="containsText" aboveAverage="0" dxfId="1" text="Project Owner review" percent="0" bottom="0">
      <formula>NOT(ISERROR(SEARCH("Project Owner review",I6)))</formula>
    </cfRule>
    <cfRule type="containsText" rank="0" priority="15" equalAverage="0" operator="containsText" aboveAverage="0" dxfId="14" text="Pending" percent="0" bottom="0">
      <formula>NOT(ISERROR(SEARCH("Pending",I6)))</formula>
    </cfRule>
    <cfRule type="containsText" rank="0" priority="16" equalAverage="0" operator="containsText" aboveAverage="0" dxfId="0" text="Blocked" percent="0" bottom="0">
      <formula>NOT(ISERROR(SEARCH("Blocked",I6)))</formula>
    </cfRule>
    <cfRule type="containsText" rank="0" priority="17" equalAverage="0" operator="containsText" aboveAverage="0" dxfId="0" text="unresolved" percent="0" bottom="0">
      <formula>NOT(ISERROR(SEARCH("unresolved",I6)))</formula>
    </cfRule>
    <cfRule type="containsText" rank="0" priority="18" equalAverage="0" operator="containsText" aboveAverage="0" dxfId="15" text="Not started" percent="0" bottom="0">
      <formula>NOT(ISERROR(SEARCH("Not started",I6)))</formula>
    </cfRule>
    <cfRule type="containsText" rank="0" priority="19" equalAverage="0" operator="containsText" aboveAverage="0" dxfId="15" text="Not evidenced" percent="0" bottom="0">
      <formula>NOT(ISERROR(SEARCH("Not evidenced",I6)))</formula>
    </cfRule>
  </conditionalFormatting>
  <conditionalFormatting sqref="J6:J35">
    <cfRule type="containsText" rank="0" priority="20" equalAverage="0" operator="containsText" aboveAverage="0" dxfId="13" text="Approved" percent="0" bottom="0">
      <formula>NOT(ISERROR(SEARCH("Approved",J6)))</formula>
    </cfRule>
    <cfRule type="containsText" rank="0" priority="21" equalAverage="0" operator="containsText" aboveAverage="0" dxfId="13" text="Passed" percent="0" bottom="0">
      <formula>NOT(ISERROR(SEARCH("Passed",J6)))</formula>
    </cfRule>
    <cfRule type="containsText" rank="0" priority="22" equalAverage="0" operator="containsText" aboveAverage="0" dxfId="13" text="Released" percent="0" bottom="0">
      <formula>NOT(ISERROR(SEARCH("Released",J6)))</formula>
    </cfRule>
    <cfRule type="containsText" rank="0" priority="23" equalAverage="0" operator="containsText" aboveAverage="0" dxfId="1" text="Project Owner review" percent="0" bottom="0">
      <formula>NOT(ISERROR(SEARCH("Project Owner review",J6)))</formula>
    </cfRule>
    <cfRule type="containsText" rank="0" priority="24" equalAverage="0" operator="containsText" aboveAverage="0" dxfId="14" text="Pending" percent="0" bottom="0">
      <formula>NOT(ISERROR(SEARCH("Pending",J6)))</formula>
    </cfRule>
    <cfRule type="containsText" rank="0" priority="25" equalAverage="0" operator="containsText" aboveAverage="0" dxfId="0" text="Blocked" percent="0" bottom="0">
      <formula>NOT(ISERROR(SEARCH("Blocked",J6)))</formula>
    </cfRule>
    <cfRule type="containsText" rank="0" priority="26" equalAverage="0" operator="containsText" aboveAverage="0" dxfId="0" text="unresolved" percent="0" bottom="0">
      <formula>NOT(ISERROR(SEARCH("unresolved",J6)))</formula>
    </cfRule>
    <cfRule type="containsText" rank="0" priority="27" equalAverage="0" operator="containsText" aboveAverage="0" dxfId="15" text="Not started" percent="0" bottom="0">
      <formula>NOT(ISERROR(SEARCH("Not started",J6)))</formula>
    </cfRule>
    <cfRule type="containsText" rank="0" priority="28" equalAverage="0" operator="containsText" aboveAverage="0" dxfId="15" text="Not evidenced" percent="0" bottom="0">
      <formula>NOT(ISERROR(SEARCH("Not evidenced",J6)))</formula>
    </cfRule>
  </conditionalFormatting>
  <conditionalFormatting sqref="K6:K35">
    <cfRule type="containsText" rank="0" priority="29" equalAverage="0" operator="containsText" aboveAverage="0" dxfId="13" text="Approved" percent="0" bottom="0">
      <formula>NOT(ISERROR(SEARCH("Approved",K6)))</formula>
    </cfRule>
    <cfRule type="containsText" rank="0" priority="30" equalAverage="0" operator="containsText" aboveAverage="0" dxfId="13" text="Passed" percent="0" bottom="0">
      <formula>NOT(ISERROR(SEARCH("Passed",K6)))</formula>
    </cfRule>
    <cfRule type="containsText" rank="0" priority="31" equalAverage="0" operator="containsText" aboveAverage="0" dxfId="13" text="Released" percent="0" bottom="0">
      <formula>NOT(ISERROR(SEARCH("Released",K6)))</formula>
    </cfRule>
    <cfRule type="containsText" rank="0" priority="32" equalAverage="0" operator="containsText" aboveAverage="0" dxfId="1" text="Project Owner review" percent="0" bottom="0">
      <formula>NOT(ISERROR(SEARCH("Project Owner review",K6)))</formula>
    </cfRule>
    <cfRule type="containsText" rank="0" priority="33" equalAverage="0" operator="containsText" aboveAverage="0" dxfId="14" text="Pending" percent="0" bottom="0">
      <formula>NOT(ISERROR(SEARCH("Pending",K6)))</formula>
    </cfRule>
    <cfRule type="containsText" rank="0" priority="34" equalAverage="0" operator="containsText" aboveAverage="0" dxfId="0" text="Blocked" percent="0" bottom="0">
      <formula>NOT(ISERROR(SEARCH("Blocked",K6)))</formula>
    </cfRule>
    <cfRule type="containsText" rank="0" priority="35" equalAverage="0" operator="containsText" aboveAverage="0" dxfId="0" text="unresolved" percent="0" bottom="0">
      <formula>NOT(ISERROR(SEARCH("unresolved",K6)))</formula>
    </cfRule>
    <cfRule type="containsText" rank="0" priority="36" equalAverage="0" operator="containsText" aboveAverage="0" dxfId="15" text="Not started" percent="0" bottom="0">
      <formula>NOT(ISERROR(SEARCH("Not started",K6)))</formula>
    </cfRule>
    <cfRule type="containsText" rank="0" priority="37" equalAverage="0" operator="containsText" aboveAverage="0" dxfId="15" text="Not evidenced" percent="0" bottom="0">
      <formula>NOT(ISERROR(SEARCH("Not evidenced",K6)))</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4472C4"/>
    <outlinePr summaryBelow="1" summaryRight="1"/>
    <pageSetUpPr/>
  </sheetPr>
  <dimension ref="A1:Z200"/>
  <sheetViews>
    <sheetView showGridLines="0" workbookViewId="0">
      <pane xSplit="1" ySplit="5" topLeftCell="B6" activePane="bottomRight" state="frozen"/>
      <selection activeCell="A1" sqref="A1"/>
    </sheetView>
  </sheetViews>
  <sheetFormatPr baseColWidth="8" defaultColWidth="8.6796875" defaultRowHeight="15"/>
  <cols>
    <col width="13" customWidth="1" style="14" min="1" max="1"/>
    <col width="23" customWidth="1" style="14" min="2" max="3"/>
    <col width="48" customWidth="1" style="14" min="4" max="4"/>
    <col width="22" customWidth="1" style="14" min="5" max="5"/>
    <col width="18" customWidth="1" style="14" min="6" max="6"/>
    <col width="16" customWidth="1" style="14" min="7" max="7"/>
    <col width="37" customWidth="1" style="14" min="8" max="8"/>
    <col width="50" customWidth="1" style="14" min="9" max="9"/>
  </cols>
  <sheetData>
    <row r="1" ht="37.5" customHeight="1" s="15">
      <c r="A1" s="16" t="inlineStr">
        <is>
          <t>Cross-module interfaces</t>
        </is>
      </c>
      <c r="J1" s="17" t="n"/>
      <c r="K1" s="17" t="n"/>
      <c r="L1" s="17" t="n"/>
      <c r="M1" s="17" t="n"/>
      <c r="N1" s="17" t="n"/>
      <c r="O1" s="17" t="n"/>
      <c r="P1" s="17" t="n"/>
      <c r="Q1" s="17" t="n"/>
      <c r="R1" s="17" t="n"/>
      <c r="S1" s="17" t="n"/>
      <c r="T1" s="17" t="n"/>
      <c r="U1" s="17" t="n"/>
      <c r="V1" s="17" t="n"/>
      <c r="W1" s="17" t="n"/>
      <c r="X1" s="17" t="n"/>
      <c r="Y1" s="17" t="n"/>
      <c r="Z1" s="17" t="n"/>
    </row>
    <row r="2" ht="33.75" customHeight="1" s="15">
      <c r="A2" s="18" t="inlineStr">
        <is>
          <t>Approved version set: 2026-10-11. Proposals up to 2026-10-11 are listed beside it. Design work remains open; CM and template walkthrough deferred.</t>
        </is>
      </c>
      <c r="J2" s="17" t="n"/>
      <c r="K2" s="17" t="n"/>
      <c r="L2" s="17" t="n"/>
      <c r="M2" s="17" t="n"/>
      <c r="N2" s="17" t="n"/>
      <c r="O2" s="17" t="n"/>
      <c r="P2" s="17" t="n"/>
      <c r="Q2" s="17" t="n"/>
      <c r="R2" s="17" t="n"/>
      <c r="S2" s="17" t="n"/>
      <c r="T2" s="17" t="n"/>
      <c r="U2" s="17" t="n"/>
      <c r="V2" s="17" t="n"/>
      <c r="W2" s="17" t="n"/>
      <c r="X2" s="17" t="n"/>
      <c r="Y2" s="17" t="n"/>
      <c r="Z2" s="17" t="n"/>
    </row>
    <row r="3" ht="15" customHeight="1" s="15">
      <c r="A3" s="17" t="n"/>
      <c r="B3" s="17" t="n"/>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row>
    <row r="4" ht="15" customHeight="1" s="15">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row>
    <row r="5" ht="36" customHeight="1" s="15">
      <c r="A5" s="32" t="inlineStr">
        <is>
          <t>Interface ID</t>
        </is>
      </c>
      <c r="B5" s="32" t="inlineStr">
        <is>
          <t>Upstream owner</t>
        </is>
      </c>
      <c r="C5" s="32" t="inlineStr">
        <is>
          <t>Downstream consumer</t>
        </is>
      </c>
      <c r="D5" s="32" t="inlineStr">
        <is>
          <t>Contract / artifact</t>
        </is>
      </c>
      <c r="E5" s="32" t="inlineStr">
        <is>
          <t>Requirement status</t>
        </is>
      </c>
      <c r="F5" s="32" t="inlineStr">
        <is>
          <t>Implementation</t>
        </is>
      </c>
      <c r="G5" s="32" t="inlineStr">
        <is>
          <t>Test status</t>
        </is>
      </c>
      <c r="H5" s="32" t="inlineStr">
        <is>
          <t>Owning documents</t>
        </is>
      </c>
      <c r="I5" s="32" t="inlineStr">
        <is>
          <t>Failure rule</t>
        </is>
      </c>
      <c r="J5" s="17" t="n"/>
      <c r="K5" s="17" t="n"/>
      <c r="L5" s="17" t="n"/>
      <c r="M5" s="17" t="n"/>
      <c r="N5" s="17" t="n"/>
      <c r="O5" s="17" t="n"/>
      <c r="P5" s="17" t="n"/>
      <c r="Q5" s="17" t="n"/>
      <c r="R5" s="17" t="n"/>
      <c r="S5" s="17" t="n"/>
      <c r="T5" s="17" t="n"/>
      <c r="U5" s="17" t="n"/>
      <c r="V5" s="17" t="n"/>
      <c r="W5" s="17" t="n"/>
      <c r="X5" s="17" t="n"/>
      <c r="Y5" s="17" t="n"/>
      <c r="Z5" s="17" t="n"/>
    </row>
    <row r="6" ht="43.5" customHeight="1" s="15">
      <c r="A6" s="17" t="inlineStr">
        <is>
          <t>IF-001</t>
        </is>
      </c>
      <c r="B6" s="27" t="inlineStr">
        <is>
          <t>Strategy Alignment</t>
        </is>
      </c>
      <c r="C6" s="27" t="inlineStr">
        <is>
          <t>Procurement Planning</t>
        </is>
      </c>
      <c r="D6" s="27" t="inlineStr">
        <is>
          <t>Accepted objective reference and immutable strategy snapshot</t>
        </is>
      </c>
      <c r="E6" s="27" t="inlineStr">
        <is>
          <t>Closed in requirements</t>
        </is>
      </c>
      <c r="F6" s="27" t="inlineStr">
        <is>
          <t>Not evidenced</t>
        </is>
      </c>
      <c r="G6" s="27" t="inlineStr">
        <is>
          <t>Not evidenced</t>
        </is>
      </c>
      <c r="H6" s="27" t="inlineStr">
        <is>
          <t>STR-CHG-001 v1.8 / PLN-CHG-001 v1.27</t>
        </is>
      </c>
      <c r="I6" s="27" t="inlineStr">
        <is>
          <t>Planning must not invent or silently rewrite strategy evidence.</t>
        </is>
      </c>
      <c r="J6" s="17" t="n"/>
      <c r="K6" s="17" t="n"/>
      <c r="L6" s="17" t="n"/>
      <c r="M6" s="17" t="n"/>
      <c r="N6" s="17" t="n"/>
      <c r="O6" s="17" t="n"/>
      <c r="P6" s="17" t="n"/>
      <c r="Q6" s="17" t="n"/>
      <c r="R6" s="17" t="n"/>
      <c r="S6" s="17" t="n"/>
      <c r="T6" s="17" t="n"/>
      <c r="U6" s="17" t="n"/>
      <c r="V6" s="17" t="n"/>
      <c r="W6" s="17" t="n"/>
      <c r="X6" s="17" t="n"/>
      <c r="Y6" s="17" t="n"/>
      <c r="Z6" s="17" t="n"/>
    </row>
    <row r="7" ht="43.5" customHeight="1" s="15">
      <c r="A7" s="17" t="inlineStr">
        <is>
          <t>IF-002</t>
        </is>
      </c>
      <c r="B7" s="27" t="inlineStr">
        <is>
          <t>Budget and Funding</t>
        </is>
      </c>
      <c r="C7" s="27" t="inlineStr">
        <is>
          <t>Procurement Planning</t>
        </is>
      </c>
      <c r="D7" s="27" t="inlineStr">
        <is>
          <t>Funding ceiling, budget line and affordability facts</t>
        </is>
      </c>
      <c r="E7" s="27" t="inlineStr">
        <is>
          <t>Closed in requirements</t>
        </is>
      </c>
      <c r="F7" s="27" t="inlineStr">
        <is>
          <t>Not evidenced</t>
        </is>
      </c>
      <c r="G7" s="27" t="inlineStr">
        <is>
          <t>Not evidenced</t>
        </is>
      </c>
      <c r="H7" s="27" t="inlineStr">
        <is>
          <t>BUD-CHG-001 v1.12 / PLN-CHG-001 v1.27</t>
        </is>
      </c>
      <c r="I7" s="27" t="inlineStr">
        <is>
          <t>Budget facts must not be repurposed as the APP reservation denominator.</t>
        </is>
      </c>
      <c r="J7" s="17" t="n"/>
      <c r="K7" s="17" t="n"/>
      <c r="L7" s="17" t="n"/>
      <c r="M7" s="17" t="n"/>
      <c r="N7" s="17" t="n"/>
      <c r="O7" s="17" t="n"/>
      <c r="P7" s="17" t="n"/>
      <c r="Q7" s="17" t="n"/>
      <c r="R7" s="17" t="n"/>
      <c r="S7" s="17" t="n"/>
      <c r="T7" s="17" t="n"/>
      <c r="U7" s="17" t="n"/>
      <c r="V7" s="17" t="n"/>
      <c r="W7" s="17" t="n"/>
      <c r="X7" s="17" t="n"/>
      <c r="Y7" s="17" t="n"/>
      <c r="Z7" s="17" t="n"/>
    </row>
    <row r="8" ht="43.5" customHeight="1" s="15">
      <c r="A8" s="17" t="inlineStr">
        <is>
          <t>IF-003</t>
        </is>
      </c>
      <c r="B8" s="27" t="inlineStr">
        <is>
          <t>Departmental Needs</t>
        </is>
      </c>
      <c r="C8" s="27" t="inlineStr">
        <is>
          <t>Procurement Planning</t>
        </is>
      </c>
      <c r="D8" s="27" t="inlineStr">
        <is>
          <t>Accepted requirement identity, quantity, unit, required-by date, estimated total cost and planning disposition</t>
        </is>
      </c>
      <c r="E8" s="27" t="inlineStr">
        <is>
          <t>Closed in requirements</t>
        </is>
      </c>
      <c r="F8" s="27" t="inlineStr">
        <is>
          <t>Not evidenced</t>
        </is>
      </c>
      <c r="G8" s="27" t="inlineStr">
        <is>
          <t>Not evidenced</t>
        </is>
      </c>
      <c r="H8" s="27" t="inlineStr">
        <is>
          <t>NDS-CHG-001 v1.17 / PLN-CHG-001 v1.31</t>
        </is>
      </c>
      <c r="I8" s="27" t="inlineStr">
        <is>
          <t>A need cannot be subsumed into a plan item whose fulfilment path is already unavailable.</t>
        </is>
      </c>
      <c r="J8" s="17" t="n"/>
      <c r="K8" s="17" t="n"/>
      <c r="L8" s="17" t="n"/>
      <c r="M8" s="17" t="n"/>
      <c r="N8" s="17" t="n"/>
      <c r="O8" s="17" t="n"/>
      <c r="P8" s="17" t="n"/>
      <c r="Q8" s="17" t="n"/>
      <c r="R8" s="17" t="n"/>
      <c r="S8" s="17" t="n"/>
      <c r="T8" s="17" t="n"/>
      <c r="U8" s="17" t="n"/>
      <c r="V8" s="17" t="n"/>
      <c r="W8" s="17" t="n"/>
      <c r="X8" s="17" t="n"/>
      <c r="Y8" s="17" t="n"/>
      <c r="Z8" s="17" t="n"/>
    </row>
    <row r="9" ht="43.5" customHeight="1" s="15">
      <c r="A9" s="17" t="inlineStr">
        <is>
          <t>IF-004</t>
        </is>
      </c>
      <c r="B9" s="27" t="inlineStr">
        <is>
          <t>Procurement Planning</t>
        </is>
      </c>
      <c r="C9" s="27" t="inlineStr">
        <is>
          <t>Procurement Requisitions</t>
        </is>
      </c>
      <c r="D9" s="27" t="inlineStr">
        <is>
          <t>Activated plan item plus REQ-owned Purchase ready for requisition hand-off, preserving allocations, classification, method, schedule, lots and reservation treatment</t>
        </is>
      </c>
      <c r="E9" s="27" t="inlineStr">
        <is>
          <t>Closed in requirements</t>
        </is>
      </c>
      <c r="F9" s="27" t="inlineStr">
        <is>
          <t>Not evidenced</t>
        </is>
      </c>
      <c r="G9" s="27" t="inlineStr">
        <is>
          <t>Not evidenced</t>
        </is>
      </c>
      <c r="H9" s="27" t="inlineStr">
        <is>
          <t>PLN-CHG-001 v1.27 / REQ-CHG-001 v1.12</t>
        </is>
      </c>
      <c r="I9" s="27" t="inlineStr">
        <is>
          <t>Requisition must preserve approved planning facts, expose lawful corrections explicitly and must not invent a parallel task or approval state.</t>
        </is>
      </c>
      <c r="J9" s="17" t="n"/>
      <c r="K9" s="17" t="n"/>
      <c r="L9" s="17" t="n"/>
      <c r="M9" s="17" t="n"/>
      <c r="N9" s="17" t="n"/>
      <c r="O9" s="17" t="n"/>
      <c r="P9" s="17" t="n"/>
      <c r="Q9" s="17" t="n"/>
      <c r="R9" s="17" t="n"/>
      <c r="S9" s="17" t="n"/>
      <c r="T9" s="17" t="n"/>
      <c r="U9" s="17" t="n"/>
      <c r="V9" s="17" t="n"/>
      <c r="W9" s="17" t="n"/>
      <c r="X9" s="17" t="n"/>
      <c r="Y9" s="17" t="n"/>
      <c r="Z9" s="17" t="n"/>
    </row>
    <row r="10" ht="43.5" customHeight="1" s="15">
      <c r="A10" s="17" t="inlineStr">
        <is>
          <t>IF-005</t>
        </is>
      </c>
      <c r="B10" s="27" t="inlineStr">
        <is>
          <t>Procurement Requisitions</t>
        </is>
      </c>
      <c r="C10" s="27" t="inlineStr">
        <is>
          <t>Tenders</t>
        </is>
      </c>
      <c r="D10" s="27" t="inlineStr">
        <is>
          <t>AuthorizedRequisitionHandoff</t>
        </is>
      </c>
      <c r="E10" s="27" t="inlineStr">
        <is>
          <t>Closed in requirements</t>
        </is>
      </c>
      <c r="F10" s="27" t="inlineStr">
        <is>
          <t>Planned</t>
        </is>
      </c>
      <c r="G10" s="27" t="inlineStr">
        <is>
          <t>Not evidenced</t>
        </is>
      </c>
      <c r="H10" s="27" t="inlineStr">
        <is>
          <t>REQ-CHG-001 v1.12 / TPR-CHG-001 v0.13</t>
        </is>
      </c>
      <c r="I10" s="27" t="inlineStr">
        <is>
          <t>Tender creation must reject missing, stale or unauthorised handoff data.</t>
        </is>
      </c>
      <c r="J10" s="17" t="n"/>
      <c r="K10" s="17" t="n"/>
      <c r="L10" s="17" t="n"/>
      <c r="M10" s="17" t="n"/>
      <c r="N10" s="17" t="n"/>
      <c r="O10" s="17" t="n"/>
      <c r="P10" s="17" t="n"/>
      <c r="Q10" s="17" t="n"/>
      <c r="R10" s="17" t="n"/>
      <c r="S10" s="17" t="n"/>
      <c r="T10" s="17" t="n"/>
      <c r="U10" s="17" t="n"/>
      <c r="V10" s="17" t="n"/>
      <c r="W10" s="17" t="n"/>
      <c r="X10" s="17" t="n"/>
      <c r="Y10" s="17" t="n"/>
      <c r="Z10" s="17" t="n"/>
    </row>
    <row r="11" ht="43.5" customHeight="1" s="15">
      <c r="A11" s="17" t="inlineStr">
        <is>
          <t>IF-006</t>
        </is>
      </c>
      <c r="B11" s="27" t="inlineStr">
        <is>
          <t>System Setup</t>
        </is>
      </c>
      <c r="C11" s="27" t="inlineStr">
        <is>
          <t>Planning/Tenders/Bids</t>
        </is>
      </c>
      <c r="D11" s="27" t="inlineStr">
        <is>
          <t>Effective procurement rules, schedule profiles, responsibilities, public portal settings and release availability</t>
        </is>
      </c>
      <c r="E11" s="27" t="inlineStr">
        <is>
          <t>Needs approval</t>
        </is>
      </c>
      <c r="F11" s="27" t="inlineStr">
        <is>
          <t>Planned</t>
        </is>
      </c>
      <c r="G11" s="27" t="inlineStr">
        <is>
          <t>Not evidenced</t>
        </is>
      </c>
      <c r="H11" s="27" t="inlineStr">
        <is>
          <t>CFG-CHG-002 v0.16</t>
        </is>
      </c>
      <c r="I11" s="27" t="inlineStr">
        <is>
          <t>Unavailable or unverified settings must block only their affected action and name the responsible setup owner.</t>
        </is>
      </c>
      <c r="J11" s="17" t="n"/>
      <c r="K11" s="17" t="n"/>
      <c r="L11" s="17" t="n"/>
      <c r="M11" s="17" t="n"/>
      <c r="N11" s="17" t="n"/>
      <c r="O11" s="17" t="n"/>
      <c r="P11" s="17" t="n"/>
      <c r="Q11" s="17" t="n"/>
      <c r="R11" s="17" t="n"/>
      <c r="S11" s="17" t="n"/>
      <c r="T11" s="17" t="n"/>
      <c r="U11" s="17" t="n"/>
      <c r="V11" s="17" t="n"/>
      <c r="W11" s="17" t="n"/>
      <c r="X11" s="17" t="n"/>
      <c r="Y11" s="17" t="n"/>
      <c r="Z11" s="17" t="n"/>
    </row>
    <row r="12" ht="43.5" customHeight="1" s="15">
      <c r="A12" s="17" t="inlineStr">
        <is>
          <t>IF-007</t>
        </is>
      </c>
      <c r="B12" s="27" t="inlineStr">
        <is>
          <t>STD Templates</t>
        </is>
      </c>
      <c r="C12" s="27" t="inlineStr">
        <is>
          <t>Requisitions/Tenders/Bids</t>
        </is>
      </c>
      <c r="D12" s="27" t="inlineStr">
        <is>
          <t>Digest-matched installed template, construction evidence, shared compiler, renderer adapter and site On/Off switch</t>
        </is>
      </c>
      <c r="E12" s="27" t="inlineStr">
        <is>
          <t>STD v0.15 approved; runtime implementation not reverified</t>
        </is>
      </c>
      <c r="F12" s="27" t="inlineStr">
        <is>
          <t>Planned</t>
        </is>
      </c>
      <c r="G12" s="27" t="inlineStr">
        <is>
          <t>Pending</t>
        </is>
      </c>
      <c r="H12" s="27" t="inlineStr">
        <is>
          <t>STD-TPL-001 v0.15 / STD-TPL-IMP-001 v1.1</t>
        </is>
      </c>
      <c r="I12" s="27" t="inlineStr">
        <is>
          <t>No module may infer missing semantics, bypass integrity/renderer checks, or bind a new Tender while the site switch is Off.</t>
        </is>
      </c>
      <c r="J12" s="17" t="n"/>
      <c r="K12" s="17" t="n"/>
      <c r="L12" s="17" t="n"/>
      <c r="M12" s="17" t="n"/>
      <c r="N12" s="17" t="n"/>
      <c r="O12" s="17" t="n"/>
      <c r="P12" s="17" t="n"/>
      <c r="Q12" s="17" t="n"/>
      <c r="R12" s="17" t="n"/>
      <c r="S12" s="17" t="n"/>
      <c r="T12" s="17" t="n"/>
      <c r="U12" s="17" t="n"/>
      <c r="V12" s="17" t="n"/>
      <c r="W12" s="17" t="n"/>
      <c r="X12" s="17" t="n"/>
      <c r="Y12" s="17" t="n"/>
      <c r="Z12" s="17" t="n"/>
    </row>
    <row r="13" ht="43.5" customHeight="1" s="15">
      <c r="A13" s="17" t="inlineStr">
        <is>
          <t>IF-008</t>
        </is>
      </c>
      <c r="B13" s="27" t="inlineStr">
        <is>
          <t>Tenders</t>
        </is>
      </c>
      <c r="C13" s="27" t="inlineStr">
        <is>
          <t>Bid Submission</t>
        </is>
      </c>
      <c r="D13" s="27" t="inlineStr">
        <is>
          <t>PublishedBidDefinition with stable row identities, deadlines, addenda and clarification state</t>
        </is>
      </c>
      <c r="E13" s="27" t="inlineStr">
        <is>
          <t>Closed in requirements</t>
        </is>
      </c>
      <c r="F13" s="27" t="inlineStr">
        <is>
          <t>Planned</t>
        </is>
      </c>
      <c r="G13" s="27" t="inlineStr">
        <is>
          <t>Not evidenced</t>
        </is>
      </c>
      <c r="H13" s="27" t="inlineStr">
        <is>
          <t>TPR-CHG-001 v0.13 / BDS-CHG-001 v0.8 / STD-TPL-IMP-001 v1.1</t>
        </is>
      </c>
      <c r="I13" s="27" t="inlineStr">
        <is>
          <t>Bid UI must be generated only by the shared compiler from the exact effective published definition and release identity.</t>
        </is>
      </c>
      <c r="J13" s="17" t="n"/>
      <c r="K13" s="17" t="n"/>
      <c r="L13" s="17" t="n"/>
      <c r="M13" s="17" t="n"/>
      <c r="N13" s="17" t="n"/>
      <c r="O13" s="17" t="n"/>
      <c r="P13" s="17" t="n"/>
      <c r="Q13" s="17" t="n"/>
      <c r="R13" s="17" t="n"/>
      <c r="S13" s="17" t="n"/>
      <c r="T13" s="17" t="n"/>
      <c r="U13" s="17" t="n"/>
      <c r="V13" s="17" t="n"/>
      <c r="W13" s="17" t="n"/>
      <c r="X13" s="17" t="n"/>
      <c r="Y13" s="17" t="n"/>
      <c r="Z13" s="17" t="n"/>
    </row>
    <row r="14" ht="43.5" customHeight="1" s="15">
      <c r="A14" s="17" t="inlineStr">
        <is>
          <t>IF-009</t>
        </is>
      </c>
      <c r="B14" s="27" t="inlineStr">
        <is>
          <t>Bid Submission</t>
        </is>
      </c>
      <c r="C14" s="27" t="inlineStr">
        <is>
          <t>Tenders</t>
        </is>
      </c>
      <c r="D14" s="27" t="inlineStr">
        <is>
          <t>Atomic candidate registration/contact plus candidate question</t>
        </is>
      </c>
      <c r="E14" s="27" t="inlineStr">
        <is>
          <t>Closed in requirements</t>
        </is>
      </c>
      <c r="F14" s="27" t="inlineStr">
        <is>
          <t>Planned</t>
        </is>
      </c>
      <c r="G14" s="27" t="inlineStr">
        <is>
          <t>Not evidenced</t>
        </is>
      </c>
      <c r="H14" s="27" t="inlineStr">
        <is>
          <t>BDS-CHG-001 v0.8 / TPR-CHG-001 v0.13</t>
        </is>
      </c>
      <c r="I14" s="27" t="inlineStr">
        <is>
          <t>Start bid must not create a half-registered candidate or orphan question.</t>
        </is>
      </c>
      <c r="J14" s="17" t="n"/>
      <c r="K14" s="17" t="n"/>
      <c r="L14" s="17" t="n"/>
      <c r="M14" s="17" t="n"/>
      <c r="N14" s="17" t="n"/>
      <c r="O14" s="17" t="n"/>
      <c r="P14" s="17" t="n"/>
      <c r="Q14" s="17" t="n"/>
      <c r="R14" s="17" t="n"/>
      <c r="S14" s="17" t="n"/>
      <c r="T14" s="17" t="n"/>
      <c r="U14" s="17" t="n"/>
      <c r="V14" s="17" t="n"/>
      <c r="W14" s="17" t="n"/>
      <c r="X14" s="17" t="n"/>
      <c r="Y14" s="17" t="n"/>
      <c r="Z14" s="17" t="n"/>
    </row>
    <row r="15" ht="43.5" customHeight="1" s="15">
      <c r="A15" s="17" t="inlineStr">
        <is>
          <t>IF-012</t>
        </is>
      </c>
      <c r="B15" s="27" t="inlineStr">
        <is>
          <t>Procurement Planning</t>
        </is>
      </c>
      <c r="C15" s="27" t="inlineStr">
        <is>
          <t>Budget and Funding</t>
        </is>
      </c>
      <c r="D15" s="27" t="inlineStr">
        <is>
          <t>Planning budget revision request with affected plan item, requested outcome, reason, requester, timestamps and immutable request identity</t>
        </is>
      </c>
      <c r="E15" s="27" t="inlineStr">
        <is>
          <t>Closed in requirements</t>
        </is>
      </c>
      <c r="F15" s="27" t="inlineStr">
        <is>
          <t>Not evidenced</t>
        </is>
      </c>
      <c r="G15" s="27" t="inlineStr">
        <is>
          <t>Not evidenced</t>
        </is>
      </c>
      <c r="H15" s="27" t="inlineStr">
        <is>
          <t>PLN-CHG-001 v1.27 / BUD-CHG-001 v1.12</t>
        </is>
      </c>
      <c r="I15" s="27" t="inlineStr">
        <is>
          <t>The request itself must not change an amount, create a reservation, constitute a budget revision or imply approval.</t>
        </is>
      </c>
      <c r="J15" s="17" t="n"/>
      <c r="K15" s="17" t="n"/>
      <c r="L15" s="17" t="n"/>
      <c r="M15" s="17" t="n"/>
      <c r="N15" s="17" t="n"/>
      <c r="O15" s="17" t="n"/>
      <c r="P15" s="17" t="n"/>
      <c r="Q15" s="17" t="n"/>
      <c r="R15" s="17" t="n"/>
      <c r="S15" s="17" t="n"/>
      <c r="T15" s="17" t="n"/>
      <c r="U15" s="17" t="n"/>
      <c r="V15" s="17" t="n"/>
      <c r="W15" s="17" t="n"/>
      <c r="X15" s="17" t="n"/>
      <c r="Y15" s="17" t="n"/>
      <c r="Z15" s="17" t="n"/>
    </row>
    <row r="16" ht="43.5" customHeight="1" s="15">
      <c r="A16" s="17" t="inlineStr">
        <is>
          <t>IF-013</t>
        </is>
      </c>
      <c r="B16" s="27" t="inlineStr">
        <is>
          <t>Budget and Funding</t>
        </is>
      </c>
      <c r="C16" s="27" t="inlineStr">
        <is>
          <t>Procurement Planning</t>
        </is>
      </c>
      <c r="D16" s="27" t="inlineStr">
        <is>
          <t>Budget revision request outcome, decline reason or registered successor allocation evidence</t>
        </is>
      </c>
      <c r="E16" s="27" t="inlineStr">
        <is>
          <t>Closed in requirements</t>
        </is>
      </c>
      <c r="F16" s="27" t="inlineStr">
        <is>
          <t>Not evidenced</t>
        </is>
      </c>
      <c r="G16" s="27" t="inlineStr">
        <is>
          <t>Not evidenced</t>
        </is>
      </c>
      <c r="H16" s="27" t="inlineStr">
        <is>
          <t>BUD-CHG-001 v1.12 / PLN-CHG-001 v1.27</t>
        </is>
      </c>
      <c r="I16" s="27" t="inlineStr">
        <is>
          <t>Planning must re-evaluate affordability from the returned Budget-owned fact and must not infer success from request submission.</t>
        </is>
      </c>
      <c r="J16" s="17" t="n"/>
      <c r="K16" s="17" t="n"/>
      <c r="L16" s="17" t="n"/>
      <c r="M16" s="17" t="n"/>
      <c r="N16" s="17" t="n"/>
      <c r="O16" s="17" t="n"/>
      <c r="P16" s="17" t="n"/>
      <c r="Q16" s="17" t="n"/>
      <c r="R16" s="17" t="n"/>
      <c r="S16" s="17" t="n"/>
      <c r="T16" s="17" t="n"/>
      <c r="U16" s="17" t="n"/>
      <c r="V16" s="17" t="n"/>
      <c r="W16" s="17" t="n"/>
      <c r="X16" s="17" t="n"/>
      <c r="Y16" s="17" t="n"/>
      <c r="Z16" s="17" t="n"/>
    </row>
    <row r="17" ht="43.5" customHeight="1" s="15">
      <c r="A17" s="17" t="inlineStr">
        <is>
          <t>IF-014</t>
        </is>
      </c>
      <c r="B17" s="27" t="inlineStr">
        <is>
          <t>Shared workflow guidance</t>
        </is>
      </c>
      <c r="C17" s="27" t="inlineStr">
        <is>
          <t>All task modules</t>
        </is>
      </c>
      <c r="D17" s="27" t="inlineStr">
        <is>
          <t>Server-produced next-step response, explicit guard reason and complete hand-off register consumed by record pages, My Work and Home</t>
        </is>
      </c>
      <c r="E17" s="27" t="inlineStr">
        <is>
          <t>Approved shared standard; module adoption partial</t>
        </is>
      </c>
      <c r="F17" s="27" t="inlineStr">
        <is>
          <t>Planned</t>
        </is>
      </c>
      <c r="G17" s="27" t="inlineStr">
        <is>
          <t>Not evidenced</t>
        </is>
      </c>
      <c r="H17" s="27" t="inlineStr">
        <is>
          <t>KT-STD-001 v1.9 / current module document</t>
        </is>
      </c>
      <c r="I17" s="27" t="inlineStr">
        <is>
          <t>No authorised user may reach a meaningful record state without an action, waiting owner, correctable blocker or completed outcome.</t>
        </is>
      </c>
      <c r="J17" s="17" t="n"/>
      <c r="K17" s="17" t="n"/>
      <c r="L17" s="17" t="n"/>
      <c r="M17" s="17" t="n"/>
      <c r="N17" s="17" t="n"/>
      <c r="O17" s="17" t="n"/>
      <c r="P17" s="17" t="n"/>
      <c r="Q17" s="17" t="n"/>
      <c r="R17" s="17" t="n"/>
      <c r="S17" s="17" t="n"/>
      <c r="T17" s="17" t="n"/>
      <c r="U17" s="17" t="n"/>
      <c r="V17" s="17" t="n"/>
      <c r="W17" s="17" t="n"/>
      <c r="X17" s="17" t="n"/>
      <c r="Y17" s="17" t="n"/>
      <c r="Z17" s="17" t="n"/>
    </row>
    <row r="18" ht="43.5" customHeight="1" s="15">
      <c r="A18" s="17" t="inlineStr">
        <is>
          <t>IF-010</t>
        </is>
      </c>
      <c r="B18" s="27" t="inlineStr">
        <is>
          <t>Tenders</t>
        </is>
      </c>
      <c r="C18" s="27" t="inlineStr">
        <is>
          <t>Bid Submission</t>
        </is>
      </c>
      <c r="D18" s="27" t="inlineStr">
        <is>
          <t>Published clarification answers, candidate notices and issued addenda</t>
        </is>
      </c>
      <c r="E18" s="27" t="inlineStr">
        <is>
          <t>Closed in requirements</t>
        </is>
      </c>
      <c r="F18" s="27" t="inlineStr">
        <is>
          <t>Planned</t>
        </is>
      </c>
      <c r="G18" s="27" t="inlineStr">
        <is>
          <t>Not evidenced</t>
        </is>
      </c>
      <c r="H18" s="27" t="inlineStr">
        <is>
          <t>TPR-CHG-001 v0.13 / BDS-CHG-001 v0.8</t>
        </is>
      </c>
      <c r="I18" s="27" t="inlineStr">
        <is>
          <t>Changed requirements require an issued addendum; clarifications alone cannot mutate the bid definition.</t>
        </is>
      </c>
      <c r="J18" s="17" t="n"/>
      <c r="K18" s="17" t="n"/>
      <c r="L18" s="17" t="n"/>
      <c r="M18" s="17" t="n"/>
      <c r="N18" s="17" t="n"/>
      <c r="O18" s="17" t="n"/>
      <c r="P18" s="17" t="n"/>
      <c r="Q18" s="17" t="n"/>
      <c r="R18" s="17" t="n"/>
      <c r="S18" s="17" t="n"/>
      <c r="T18" s="17" t="n"/>
      <c r="U18" s="17" t="n"/>
      <c r="V18" s="17" t="n"/>
      <c r="W18" s="17" t="n"/>
      <c r="X18" s="17" t="n"/>
      <c r="Y18" s="17" t="n"/>
      <c r="Z18" s="17" t="n"/>
    </row>
    <row r="19" ht="43.5" customHeight="1" s="15">
      <c r="A19" s="17" t="inlineStr">
        <is>
          <t>IF-015</t>
        </is>
      </c>
      <c r="B19" s="27" t="inlineStr">
        <is>
          <t>STD Templates</t>
        </is>
      </c>
      <c r="C19" s="27" t="inlineStr">
        <is>
          <t>Tenders/Bid Submission</t>
        </is>
      </c>
      <c r="D19" s="27" t="inlineStr">
        <is>
          <t>Bound release and site availability projection</t>
        </is>
      </c>
      <c r="E19" s="27" t="inlineStr">
        <is>
          <t>Closed in requirements</t>
        </is>
      </c>
      <c r="F19" s="27" t="inlineStr">
        <is>
          <t>Planned</t>
        </is>
      </c>
      <c r="G19" s="27" t="inlineStr">
        <is>
          <t>Not evidenced</t>
        </is>
      </c>
      <c r="H19" s="27" t="inlineStr">
        <is>
          <t>STD-TPL-001 v0.15 / STD-TPL-IMP-001 v1.1 / TPR-CHG-001 v0.13</t>
        </is>
      </c>
      <c r="I19" s="27" t="inlineStr">
        <is>
          <t>New binding requires site On and valid integrity/renderer; Off preserves existing bindings, safety/legal withdrawal blocks affected unpublished publication; never automatically rebind.</t>
        </is>
      </c>
      <c r="J19" s="17" t="n"/>
      <c r="K19" s="17" t="n"/>
      <c r="L19" s="17" t="n"/>
      <c r="M19" s="17" t="n"/>
      <c r="N19" s="17" t="n"/>
      <c r="O19" s="17" t="n"/>
      <c r="P19" s="17" t="n"/>
      <c r="Q19" s="17" t="n"/>
      <c r="R19" s="17" t="n"/>
      <c r="S19" s="17" t="n"/>
      <c r="T19" s="17" t="n"/>
      <c r="U19" s="17" t="n"/>
      <c r="V19" s="17" t="n"/>
      <c r="W19" s="17" t="n"/>
      <c r="X19" s="17" t="n"/>
      <c r="Y19" s="17" t="n"/>
      <c r="Z19" s="17" t="n"/>
    </row>
    <row r="20" ht="43.5" customHeight="1" s="15">
      <c r="A20" s="17" t="inlineStr">
        <is>
          <t>IF-011</t>
        </is>
      </c>
      <c r="B20" s="27" t="inlineStr">
        <is>
          <t>Bid Submission</t>
        </is>
      </c>
      <c r="C20" s="27" t="inlineStr">
        <is>
          <t>Bid Opening</t>
        </is>
      </c>
      <c r="D20" s="27" t="inlineStr">
        <is>
          <t>Sealed immutable bid handoff and receipt identity</t>
        </is>
      </c>
      <c r="E20" s="27" t="inlineStr">
        <is>
          <t>Future consumer boundary</t>
        </is>
      </c>
      <c r="F20" s="27" t="inlineStr">
        <is>
          <t>Not started</t>
        </is>
      </c>
      <c r="G20" s="27" t="inlineStr">
        <is>
          <t>Not started</t>
        </is>
      </c>
      <c r="H20" s="27" t="inlineStr">
        <is>
          <t>BDS-CHG-001 v0.8</t>
        </is>
      </c>
      <c r="I20" s="27" t="inlineStr">
        <is>
          <t>Gate 1 ends at sealed handoff; no opening or evaluation behaviour is implied.</t>
        </is>
      </c>
      <c r="J20" s="17" t="n"/>
      <c r="K20" s="17" t="n"/>
      <c r="L20" s="17" t="n"/>
      <c r="M20" s="17" t="n"/>
      <c r="N20" s="17" t="n"/>
      <c r="O20" s="17" t="n"/>
      <c r="P20" s="17" t="n"/>
      <c r="Q20" s="17" t="n"/>
      <c r="R20" s="17" t="n"/>
      <c r="S20" s="17" t="n"/>
      <c r="T20" s="17" t="n"/>
      <c r="U20" s="17" t="n"/>
      <c r="V20" s="17" t="n"/>
      <c r="W20" s="17" t="n"/>
      <c r="X20" s="17" t="n"/>
      <c r="Y20" s="17" t="n"/>
      <c r="Z20" s="17" t="n"/>
    </row>
    <row r="21" ht="43.5" customHeight="1" s="15">
      <c r="A21" s="17" t="inlineStr">
        <is>
          <t>IF-016</t>
        </is>
      </c>
      <c r="B21" s="27" t="inlineStr">
        <is>
          <t>Trust, Signing and Custody</t>
        </is>
      </c>
      <c r="C21" s="27" t="inlineStr">
        <is>
          <t>BDS / BOP / PRC</t>
        </is>
      </c>
      <c r="D21" s="27" t="inlineStr">
        <is>
          <t>Exact-target signature verification and sealed bid deposit/opening custody with authoritative receipts and independent member authorization</t>
        </is>
      </c>
      <c r="E21" s="27" t="inlineStr">
        <is>
          <t>Deferred production contract; test proxy approved</t>
        </is>
      </c>
      <c r="F21" s="27" t="inlineStr">
        <is>
          <t>Not started</t>
        </is>
      </c>
      <c r="G21" s="27" t="inlineStr">
        <is>
          <t>Not started</t>
        </is>
      </c>
      <c r="H21" s="27" t="inlineStr">
        <is>
          <t>TRUST-ADR-001 v0.1; BDS-CHG-001 v0.8 (v0.9 proposed); BOP-CHG-001 v0.11; PRC-CHG-001 v0.9 proposed</t>
        </is>
      </c>
      <c r="I21" s="27" t="inlineStr">
        <is>
          <t>No production submission/opening/signature on absent or uncertain trust/custody result. A synthetic proxy cannot turn the default-false BDS gate on.</t>
        </is>
      </c>
      <c r="J21" s="17" t="n"/>
      <c r="K21" s="17" t="n"/>
      <c r="L21" s="17" t="n"/>
      <c r="M21" s="17" t="n"/>
      <c r="N21" s="17" t="n"/>
      <c r="O21" s="17" t="n"/>
      <c r="P21" s="17" t="n"/>
      <c r="Q21" s="17" t="n"/>
      <c r="R21" s="17" t="n"/>
      <c r="S21" s="17" t="n"/>
      <c r="T21" s="17" t="n"/>
      <c r="U21" s="17" t="n"/>
      <c r="V21" s="17" t="n"/>
      <c r="W21" s="17" t="n"/>
      <c r="X21" s="17" t="n"/>
      <c r="Y21" s="17" t="n"/>
      <c r="Z21" s="17" t="n"/>
    </row>
    <row r="22" ht="43.5" customHeight="1" s="15">
      <c r="A22" s="17" t="inlineStr">
        <is>
          <t>IF-017</t>
        </is>
      </c>
      <c r="B22" s="27" t="inlineStr">
        <is>
          <t>Evaluation / Tenders</t>
        </is>
      </c>
      <c r="C22" s="27" t="inlineStr">
        <is>
          <t>Award</t>
        </is>
      </c>
      <c r="D22" s="27" t="inlineStr">
        <is>
          <t>Exact report/task receipt; separate decision and notice authority; serialised notice/cancellation boundary. AWD-IF-01–02.</t>
        </is>
      </c>
      <c r="E22" s="27" t="inlineStr">
        <is>
          <t>Proposed interface</t>
        </is>
      </c>
      <c r="F22" s="27" t="inlineStr">
        <is>
          <t>Not started</t>
        </is>
      </c>
      <c r="G22" s="27" t="inlineStr">
        <is>
          <t>Not started</t>
        </is>
      </c>
      <c r="H22" s="27" t="inlineStr">
        <is>
          <t>AWD-CHG-001 v0.5 §17.2; matching owner amendments pending</t>
        </is>
      </c>
      <c r="I22" s="27" t="inlineStr">
        <is>
          <t>No duplicate receipt task, stale source or false negative authority; preserve versioned corrections.</t>
        </is>
      </c>
      <c r="J22" s="17" t="n"/>
      <c r="K22" s="17" t="n"/>
      <c r="L22" s="17" t="n"/>
      <c r="M22" s="17" t="n"/>
      <c r="N22" s="17" t="n"/>
      <c r="O22" s="17" t="n"/>
      <c r="P22" s="17" t="n"/>
      <c r="Q22" s="17" t="n"/>
      <c r="R22" s="17" t="n"/>
      <c r="S22" s="17" t="n"/>
      <c r="T22" s="17" t="n"/>
      <c r="U22" s="17" t="n"/>
      <c r="V22" s="17" t="n"/>
      <c r="W22" s="17" t="n"/>
      <c r="X22" s="17" t="n"/>
      <c r="Y22" s="17" t="n"/>
      <c r="Z22" s="17" t="n"/>
    </row>
    <row r="23" ht="43.5" customHeight="1" s="15">
      <c r="A23" s="17" t="inlineStr">
        <is>
          <t>IF-018</t>
        </is>
      </c>
      <c r="B23" s="27" t="inlineStr">
        <is>
          <t>BDS / Budget / AUTH / Legal / Trust</t>
        </is>
      </c>
      <c r="C23" s="27" t="inlineStr">
        <is>
          <t>Award / Procurement Proceedings</t>
        </is>
      </c>
      <c r="D23" s="27" t="inlineStr">
        <is>
          <t>Audience, authority, funding and verified notice/signature/clock rules; retained records. AWD-IF-03, 04, 06, 07.</t>
        </is>
      </c>
      <c r="E23" s="27" t="inlineStr">
        <is>
          <t>Proposed interface</t>
        </is>
      </c>
      <c r="F23" s="27" t="inlineStr">
        <is>
          <t>Not started</t>
        </is>
      </c>
      <c r="G23" s="27" t="inlineStr">
        <is>
          <t>Not started</t>
        </is>
      </c>
      <c r="H23" s="27" t="inlineStr">
        <is>
          <t>AWD-CHG-001 v0.5 §17.2; matching owner amendments pending</t>
        </is>
      </c>
      <c r="I23" s="27" t="inlineStr">
        <is>
          <t>Unknown rules, authority, funding or giving evidence cannot authorise positive advancement.</t>
        </is>
      </c>
      <c r="J23" s="17" t="n"/>
      <c r="K23" s="17" t="n"/>
      <c r="L23" s="17" t="n"/>
      <c r="M23" s="17" t="n"/>
      <c r="N23" s="17" t="n"/>
      <c r="O23" s="17" t="n"/>
      <c r="P23" s="17" t="n"/>
      <c r="Q23" s="17" t="n"/>
      <c r="R23" s="17" t="n"/>
      <c r="S23" s="17" t="n"/>
      <c r="T23" s="17" t="n"/>
      <c r="U23" s="17" t="n"/>
      <c r="V23" s="17" t="n"/>
      <c r="W23" s="17" t="n"/>
      <c r="X23" s="17" t="n"/>
      <c r="Y23" s="17" t="n"/>
      <c r="Z23" s="17" t="n"/>
    </row>
    <row r="24" ht="43.5" customHeight="1" s="15">
      <c r="A24" s="17" t="inlineStr">
        <is>
          <t>IF-019</t>
        </is>
      </c>
      <c r="B24" s="27" t="inlineStr">
        <is>
          <t>Award</t>
        </is>
      </c>
      <c r="C24" s="27" t="inlineStr">
        <is>
          <t>Contracting</t>
        </is>
      </c>
      <c r="D24" s="27" t="inlineStr">
        <is>
          <t>Immutable package, durable receipt/task, later restriction updates, and independent decision-event delivery to the Contracting-owned publication obligation. AWD-IF-05.</t>
        </is>
      </c>
      <c r="E24" s="27" t="inlineStr">
        <is>
          <t>Proposed interface</t>
        </is>
      </c>
      <c r="F24" s="27" t="inlineStr">
        <is>
          <t>Not started</t>
        </is>
      </c>
      <c r="G24" s="27" t="inlineStr">
        <is>
          <t>Not started</t>
        </is>
      </c>
      <c r="H24" s="27" t="inlineStr">
        <is>
          <t>AWD-CHG-001 v0.5 §17.2; matching owner amendments pending</t>
        </is>
      </c>
      <c r="I24" s="27" t="inlineStr">
        <is>
          <t>No completion without consumer receipt; Contracting rechecks current restrictions. No contract created by notice or acceptance.</t>
        </is>
      </c>
      <c r="J24" s="17" t="n"/>
      <c r="K24" s="17" t="n"/>
      <c r="L24" s="17" t="n"/>
      <c r="M24" s="17" t="n"/>
      <c r="N24" s="17" t="n"/>
      <c r="O24" s="17" t="n"/>
      <c r="P24" s="17" t="n"/>
      <c r="Q24" s="17" t="n"/>
      <c r="R24" s="17" t="n"/>
      <c r="S24" s="17" t="n"/>
      <c r="T24" s="17" t="n"/>
      <c r="U24" s="17" t="n"/>
      <c r="V24" s="17" t="n"/>
      <c r="W24" s="17" t="n"/>
      <c r="X24" s="17" t="n"/>
      <c r="Y24" s="17" t="n"/>
      <c r="Z24" s="17" t="n"/>
    </row>
    <row r="25" ht="43.5" customHeight="1" s="15">
      <c r="A25" s="17" t="inlineStr">
        <is>
          <t>IF-020</t>
        </is>
      </c>
      <c r="B25" s="27" t="inlineStr">
        <is>
          <t>STD Templates / Tenders</t>
        </is>
      </c>
      <c r="C25" s="27" t="inlineStr">
        <is>
          <t>Template walkthrough (STD Templates and Tender record)</t>
        </is>
      </c>
      <c r="D25" s="27" t="inlineStr">
        <is>
          <t>TemplateWalkthroughProjection v1 compiled at installation from the release fixture; walkthrough preview of an unpublished Tender Version from the shared compiler; frozen Published Bid Definition for a published Tender; registered renderer in walkthrough mode</t>
        </is>
      </c>
      <c r="E25" s="27" t="inlineStr">
        <is>
          <t>Separate change approval reported; integration/rebase pending</t>
        </is>
      </c>
      <c r="F25" s="27" t="inlineStr">
        <is>
          <t>Not started</t>
        </is>
      </c>
      <c r="G25" s="27" t="inlineStr">
        <is>
          <t>Not started</t>
        </is>
      </c>
      <c r="H25" s="27" t="inlineStr">
        <is>
          <t>STD-TPL v0.15 control block references approved 2 October walkthrough change; separate source not supplied; successor numbering pending</t>
        </is>
      </c>
      <c r="I25" s="27" t="inlineStr">
        <is>
          <t>No substitute renderer, raw view or partial workspace; a preview is never stored as a Published Bid Definition or shown to a supplier; no supplier Draft or submitted content is read; nothing is saved and no gate result is recorded.</t>
        </is>
      </c>
      <c r="J25" s="17" t="n"/>
      <c r="K25" s="17" t="n"/>
      <c r="L25" s="17" t="n"/>
      <c r="M25" s="17" t="n"/>
      <c r="N25" s="17" t="n"/>
      <c r="O25" s="17" t="n"/>
      <c r="P25" s="17" t="n"/>
      <c r="Q25" s="17" t="n"/>
      <c r="R25" s="17" t="n"/>
      <c r="S25" s="17" t="n"/>
      <c r="T25" s="17" t="n"/>
      <c r="U25" s="17" t="n"/>
      <c r="V25" s="17" t="n"/>
      <c r="W25" s="17" t="n"/>
      <c r="X25" s="17" t="n"/>
      <c r="Y25" s="17" t="n"/>
      <c r="Z25" s="17" t="n"/>
    </row>
    <row r="26" ht="150" customHeight="1" s="15">
      <c r="A26" s="35" t="inlineStr">
        <is>
          <t>IF-021</t>
        </is>
      </c>
      <c r="B26" s="35" t="inlineStr">
        <is>
          <t>Stage owners</t>
        </is>
      </c>
      <c r="C26" s="35" t="inlineStr">
        <is>
          <t>Tender record</t>
        </is>
      </c>
      <c r="D26" s="35" t="inlineStr">
        <is>
          <t>Owner-filtered Decisions and progress summary; version, reason, actor/date, outstanding matter and links</t>
        </is>
      </c>
      <c r="E26" s="35" t="inlineStr">
        <is>
          <t>Approved interface</t>
        </is>
      </c>
      <c r="F26" s="35" t="inlineStr">
        <is>
          <t>Not started</t>
        </is>
      </c>
      <c r="G26" s="35" t="inlineStr">
        <is>
          <t>Not started</t>
        </is>
      </c>
      <c r="H26" s="35" t="inlineStr">
        <is>
          <t>OVS-CHG-001 v0.6 and limited owner successors</t>
        </is>
      </c>
      <c r="I26" s="35" t="inlineStr">
        <is>
          <t>Hide denied stages; isolate authorised load failures; preserve TPR whole-queue summary counts.</t>
        </is>
      </c>
      <c r="J26" s="17" t="n"/>
      <c r="K26" s="17" t="n"/>
      <c r="L26" s="17" t="n"/>
      <c r="M26" s="17" t="n"/>
      <c r="N26" s="17" t="n"/>
      <c r="O26" s="17" t="n"/>
      <c r="P26" s="17" t="n"/>
      <c r="Q26" s="17" t="n"/>
      <c r="R26" s="17" t="n"/>
      <c r="S26" s="17" t="n"/>
      <c r="T26" s="17" t="n"/>
      <c r="U26" s="17" t="n"/>
      <c r="V26" s="17" t="n"/>
      <c r="W26" s="17" t="n"/>
      <c r="X26" s="17" t="n"/>
      <c r="Y26" s="17" t="n"/>
      <c r="Z26" s="17" t="n"/>
    </row>
    <row r="27" ht="150" customHeight="1" s="15">
      <c r="A27" s="35" t="inlineStr">
        <is>
          <t>IF-022</t>
        </is>
      </c>
      <c r="B27" s="35" t="inlineStr">
        <is>
          <t>Evaluation</t>
        </is>
      </c>
      <c r="C27" s="35" t="inlineStr">
        <is>
          <t>AO/HOPF and scoped department readers</t>
        </is>
      </c>
      <c r="D27" s="35" t="inlineStr">
        <is>
          <t>Exact delivered-version evidence projection and restricted departmental outcome summary</t>
        </is>
      </c>
      <c r="E27" s="35" t="inlineStr">
        <is>
          <t>Approved interface</t>
        </is>
      </c>
      <c r="F27" s="35" t="inlineStr">
        <is>
          <t>Not started</t>
        </is>
      </c>
      <c r="G27" s="35" t="inlineStr">
        <is>
          <t>Not started</t>
        </is>
      </c>
      <c r="H27" s="35" t="inlineStr">
        <is>
          <t>OVS-CHG-001 v0.6 and limited owner successors</t>
        </is>
      </c>
      <c r="I27" s="35" t="inlineStr">
        <is>
          <t>No unfinished correction or cross-scope evidence; retain earlier delivered version.</t>
        </is>
      </c>
      <c r="J27" s="17" t="n"/>
      <c r="K27" s="17" t="n"/>
      <c r="L27" s="17" t="n"/>
      <c r="M27" s="17" t="n"/>
      <c r="N27" s="17" t="n"/>
      <c r="O27" s="17" t="n"/>
      <c r="P27" s="17" t="n"/>
      <c r="Q27" s="17" t="n"/>
      <c r="R27" s="17" t="n"/>
      <c r="S27" s="17" t="n"/>
      <c r="T27" s="17" t="n"/>
      <c r="U27" s="17" t="n"/>
      <c r="V27" s="17" t="n"/>
      <c r="W27" s="17" t="n"/>
      <c r="X27" s="17" t="n"/>
      <c r="Y27" s="17" t="n"/>
      <c r="Z27" s="17" t="n"/>
    </row>
    <row r="28" ht="150" customHeight="1" s="15">
      <c r="A28" s="35" t="inlineStr">
        <is>
          <t>IF-023</t>
        </is>
      </c>
      <c r="B28" s="35" t="inlineStr">
        <is>
          <t>Opening/Evaluation owners</t>
        </is>
      </c>
      <c r="C28" s="35" t="inlineStr">
        <is>
          <t>Procurement meetings register</t>
        </is>
      </c>
      <c r="D28" s="35" t="inlineStr">
        <is>
          <t>Scoped session metadata and counts through authoritative Tender source attribution</t>
        </is>
      </c>
      <c r="E28" s="35" t="inlineStr">
        <is>
          <t>Approved interface</t>
        </is>
      </c>
      <c r="F28" s="35" t="inlineStr">
        <is>
          <t>Not started</t>
        </is>
      </c>
      <c r="G28" s="35" t="inlineStr">
        <is>
          <t>Not started</t>
        </is>
      </c>
      <c r="H28" s="35" t="inlineStr">
        <is>
          <t>OVS-CHG-001 v0.6 and limited owner successors</t>
        </is>
      </c>
      <c r="I28" s="35" t="inlineStr">
        <is>
          <t>Unavailable verdict yields incomplete totals; no denied rows or duplicate sessions.</t>
        </is>
      </c>
      <c r="J28" s="17" t="n"/>
      <c r="K28" s="17" t="n"/>
      <c r="L28" s="17" t="n"/>
      <c r="M28" s="17" t="n"/>
      <c r="N28" s="17" t="n"/>
      <c r="O28" s="17" t="n"/>
      <c r="P28" s="17" t="n"/>
      <c r="Q28" s="17" t="n"/>
      <c r="R28" s="17" t="n"/>
      <c r="S28" s="17" t="n"/>
      <c r="T28" s="17" t="n"/>
      <c r="U28" s="17" t="n"/>
      <c r="V28" s="17" t="n"/>
      <c r="W28" s="17" t="n"/>
      <c r="X28" s="17" t="n"/>
      <c r="Y28" s="17" t="n"/>
      <c r="Z28" s="17" t="n"/>
    </row>
    <row r="29" ht="150" customHeight="1" s="15">
      <c r="A29" s="35" t="inlineStr">
        <is>
          <t>IF-024</t>
        </is>
      </c>
      <c r="B29" s="35" t="inlineStr">
        <is>
          <t>AUTH and module owners</t>
        </is>
      </c>
      <c r="C29" s="35" t="inlineStr">
        <is>
          <t>Module registers, history and search</t>
        </is>
      </c>
      <c r="D29" s="35" t="inlineStr">
        <is>
          <t>OVS §4.1 explicit read additions through registered owner predicates</t>
        </is>
      </c>
      <c r="E29" s="35" t="inlineStr">
        <is>
          <t>Approved interface</t>
        </is>
      </c>
      <c r="F29" s="35" t="inlineStr">
        <is>
          <t>Not started</t>
        </is>
      </c>
      <c r="G29" s="35" t="inlineStr">
        <is>
          <t>Not started</t>
        </is>
      </c>
      <c r="H29" s="35" t="inlineStr">
        <is>
          <t>OVS-CHG-001 v0.6 and limited owner successors</t>
        </is>
      </c>
      <c r="I29" s="35" t="inlineStr">
        <is>
          <t>No new role/scope store; no Draft or bid access beyond explicit owner rule.</t>
        </is>
      </c>
      <c r="J29" s="17" t="n"/>
      <c r="K29" s="17" t="n"/>
      <c r="L29" s="17" t="n"/>
      <c r="M29" s="17" t="n"/>
      <c r="N29" s="17" t="n"/>
      <c r="O29" s="17" t="n"/>
      <c r="P29" s="17" t="n"/>
      <c r="Q29" s="17" t="n"/>
      <c r="R29" s="17" t="n"/>
      <c r="S29" s="17" t="n"/>
      <c r="T29" s="17" t="n"/>
      <c r="U29" s="17" t="n"/>
      <c r="V29" s="17" t="n"/>
      <c r="W29" s="17" t="n"/>
      <c r="X29" s="17" t="n"/>
      <c r="Y29" s="17" t="n"/>
      <c r="Z29" s="17" t="n"/>
    </row>
    <row r="30" ht="150" customHeight="1" s="15">
      <c r="A30" s="35" t="inlineStr">
        <is>
          <t>IF-025</t>
        </is>
      </c>
      <c r="B30" s="35" t="inlineStr">
        <is>
          <t>BOP-CHG-001</t>
        </is>
      </c>
      <c r="C30" s="35" t="inlineStr">
        <is>
          <t>BDS-CHG-001</t>
        </is>
      </c>
      <c r="D30" s="35" t="inlineStr">
        <is>
          <t>Opening access boundary: Bid Opening publishes that the Tender's opening has started through the kt_opening_boundary_probes hook; Bid Submission matches a security intake to a bid only after it.</t>
        </is>
      </c>
      <c r="E30" s="35" t="inlineStr">
        <is>
          <t>Approved requirement</t>
        </is>
      </c>
      <c r="F30" s="35" t="inlineStr">
        <is>
          <t>Implemented</t>
        </is>
      </c>
      <c r="G30" s="35" t="inlineStr">
        <is>
          <t>Pending</t>
        </is>
      </c>
      <c r="H30" s="35" t="inlineStr">
        <is>
          <t>BOP-CHG-001 (approved 11 October 2026, successor) and BDS-CHG-001 (approved 11 October 2026, successor)</t>
        </is>
      </c>
      <c r="I30" s="35" t="inlineStr">
        <is>
          <t>No probe answers yes before Start; matching and the supplier's matched status stay closed.</t>
        </is>
      </c>
      <c r="J30" s="17" t="n"/>
      <c r="K30" s="17" t="n"/>
      <c r="L30" s="17" t="n"/>
      <c r="M30" s="17" t="n"/>
      <c r="N30" s="17" t="n"/>
      <c r="O30" s="17" t="n"/>
      <c r="P30" s="17" t="n"/>
      <c r="Q30" s="17" t="n"/>
      <c r="R30" s="17" t="n"/>
      <c r="S30" s="17" t="n"/>
      <c r="T30" s="17" t="n"/>
      <c r="U30" s="17" t="n"/>
      <c r="V30" s="17" t="n"/>
      <c r="W30" s="17" t="n"/>
      <c r="X30" s="17" t="n"/>
      <c r="Y30" s="17" t="n"/>
      <c r="Z30" s="17" t="n"/>
    </row>
    <row r="31" ht="150" customHeight="1" s="15">
      <c r="A31" s="35" t="inlineStr">
        <is>
          <t>IF-026</t>
        </is>
      </c>
      <c r="B31" s="35" t="inlineStr">
        <is>
          <t>BOP-CHG-001 and EVL-CHG-001</t>
        </is>
      </c>
      <c r="C31" s="35" t="inlineStr">
        <is>
          <t>BDS-CHG-001</t>
        </is>
      </c>
      <c r="D31" s="35" t="inlineStr">
        <is>
          <t>Duty participants: Opening and Evaluation publish who sits on a Tender's opening and evaluation through the kt_tender_duty_participants hook; Bid Submission checks the intake duty against it, and the owning modules check the duty at appointment.</t>
        </is>
      </c>
      <c r="E31" s="35" t="inlineStr">
        <is>
          <t>Approved requirement</t>
        </is>
      </c>
      <c r="F31" s="35" t="inlineStr">
        <is>
          <t>Implemented</t>
        </is>
      </c>
      <c r="G31" s="35" t="inlineStr">
        <is>
          <t>Pending</t>
        </is>
      </c>
      <c r="H31" s="35" t="inlineStr">
        <is>
          <t>AUTH-ADR-001 (approved 11 October 2026, successor section 5.8) and BDS-CHG-001 (approved 11 October 2026, successor section 6)</t>
        </is>
      </c>
      <c r="I31" s="35" t="inlineStr">
        <is>
          <t>A person on a Tender's opening or evaluation cannot be assigned its intake duty; a duty holder or exposed person cannot be appointed; refusals name the duty and no supplier.</t>
        </is>
      </c>
      <c r="J31" s="17" t="n"/>
      <c r="K31" s="17" t="n"/>
      <c r="L31" s="17" t="n"/>
      <c r="M31" s="17" t="n"/>
      <c r="N31" s="17" t="n"/>
      <c r="O31" s="17" t="n"/>
      <c r="P31" s="17" t="n"/>
      <c r="Q31" s="17" t="n"/>
      <c r="R31" s="17" t="n"/>
      <c r="S31" s="17" t="n"/>
      <c r="T31" s="17" t="n"/>
      <c r="U31" s="17" t="n"/>
      <c r="V31" s="17" t="n"/>
      <c r="W31" s="17" t="n"/>
      <c r="X31" s="17" t="n"/>
      <c r="Y31" s="17" t="n"/>
      <c r="Z31" s="17" t="n"/>
    </row>
    <row r="32" ht="150" customHeight="1" s="15">
      <c r="A32" s="35" t="inlineStr">
        <is>
          <t>IF-027</t>
        </is>
      </c>
      <c r="B32" s="35" t="inlineStr">
        <is>
          <t>Issuer verification service</t>
        </is>
      </c>
      <c r="C32" s="35" t="inlineStr">
        <is>
          <t>BDS-CHG-001</t>
        </is>
      </c>
      <c r="D32" s="35" t="inlineStr">
        <is>
          <t>Issuer verification: an issuer's answer Confirmed, Pending, Mismatch or Unavailable to a tender-security instrument, found through the kt_bds_issuer_services hook; the source and response time travel with the result.</t>
        </is>
      </c>
      <c r="E32" s="35" t="inlineStr">
        <is>
          <t>Approved requirement</t>
        </is>
      </c>
      <c r="F32" s="35" t="inlineStr">
        <is>
          <t>In progress</t>
        </is>
      </c>
      <c r="G32" s="35" t="inlineStr">
        <is>
          <t>Pending</t>
        </is>
      </c>
      <c r="H32" s="35" t="inlineStr">
        <is>
          <t>BDS-CHG-001 (approved 11 October 2026, successor section 4.8) and TRUST-ADR-001 (approved 11 October 2026, successor section 2)</t>
        </is>
      </c>
      <c r="I32" s="35" t="inlineStr">
        <is>
          <t>An unavailable or absent service leaves verification Pending; only the Test Issuer Service answers, on a test environment only; nothing is Confirmed without an issuer's answer.</t>
        </is>
      </c>
      <c r="J32" s="17" t="n"/>
      <c r="K32" s="17" t="n"/>
      <c r="L32" s="17" t="n"/>
      <c r="M32" s="17" t="n"/>
      <c r="N32" s="17" t="n"/>
      <c r="O32" s="17" t="n"/>
      <c r="P32" s="17" t="n"/>
      <c r="Q32" s="17" t="n"/>
      <c r="R32" s="17" t="n"/>
      <c r="S32" s="17" t="n"/>
      <c r="T32" s="17" t="n"/>
      <c r="U32" s="17" t="n"/>
      <c r="V32" s="17" t="n"/>
      <c r="W32" s="17" t="n"/>
      <c r="X32" s="17" t="n"/>
      <c r="Y32" s="17" t="n"/>
      <c r="Z32" s="17" t="n"/>
    </row>
    <row r="33" ht="150" customHeight="1" s="15">
      <c r="A33" s="35" t="inlineStr">
        <is>
          <t>IF-028</t>
        </is>
      </c>
      <c r="B33" s="35" t="inlineStr">
        <is>
          <t>Tenders</t>
        </is>
      </c>
      <c r="C33" s="35" t="inlineStr">
        <is>
          <t>Bid Submission</t>
        </is>
      </c>
      <c r="D33" s="35" t="inlineStr">
        <is>
          <t>The Tender’s tender-security statements (submission method, original delivery) as published facts, or as the auditable Tender Security Statement correction where the published definition states neither</t>
        </is>
      </c>
      <c r="E33" s="35" t="inlineStr">
        <is>
          <t>Approved requirement</t>
        </is>
      </c>
      <c r="F33" s="35" t="inlineStr">
        <is>
          <t>Implemented</t>
        </is>
      </c>
      <c r="G33" s="35" t="inlineStr">
        <is>
          <t>Pending</t>
        </is>
      </c>
      <c r="H33" s="35" t="inlineStr">
        <is>
          <t>TPR-CHG-001; BDS-CHG-001; STD-TPL-001</t>
        </is>
      </c>
      <c r="I33" s="35" t="inlineStr">
        <is>
          <t>A Tender that states neither reads Original delivery not stated; no requirement is assumed or invented.</t>
        </is>
      </c>
      <c r="J33" s="17" t="n"/>
      <c r="K33" s="17" t="n"/>
      <c r="L33" s="17" t="n"/>
      <c r="M33" s="17" t="n"/>
      <c r="N33" s="17" t="n"/>
      <c r="O33" s="17" t="n"/>
      <c r="P33" s="17" t="n"/>
      <c r="Q33" s="17" t="n"/>
      <c r="R33" s="17" t="n"/>
      <c r="S33" s="17" t="n"/>
      <c r="T33" s="17" t="n"/>
      <c r="U33" s="17" t="n"/>
      <c r="V33" s="17" t="n"/>
      <c r="W33" s="17" t="n"/>
      <c r="X33" s="17" t="n"/>
      <c r="Y33" s="17" t="n"/>
      <c r="Z33" s="17" t="n"/>
    </row>
    <row r="34" ht="15" customHeight="1" s="15">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row>
    <row r="35" ht="15" customHeight="1" s="1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row>
    <row r="36" ht="15" customHeight="1" s="15">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row>
    <row r="37" ht="15" customHeight="1" s="15">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row>
    <row r="38" ht="15" customHeight="1" s="15">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row>
    <row r="39" ht="15" customHeight="1" s="15">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row>
    <row r="40" ht="15" customHeight="1" s="15">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row>
    <row r="41" ht="15" customHeight="1" s="15">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row>
    <row r="42" ht="15" customHeight="1" s="15">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row>
    <row r="43" ht="15" customHeight="1" s="15">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row>
    <row r="44" ht="15" customHeight="1" s="15">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row>
    <row r="45" ht="15" customHeight="1" s="1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row>
    <row r="46" ht="15" customHeight="1" s="15">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row>
    <row r="47" ht="15" customHeight="1" s="15">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row>
    <row r="48" ht="15" customHeight="1" s="15">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row>
    <row r="49" ht="15" customHeight="1" s="15">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row>
    <row r="50" ht="15" customHeight="1" s="15">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row>
    <row r="51" ht="15" customHeight="1" s="15">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row>
    <row r="52" ht="15" customHeight="1" s="15">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row>
    <row r="53" ht="15" customHeight="1" s="15">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row>
    <row r="54" ht="15" customHeight="1" s="15">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row>
    <row r="55" ht="15" customHeight="1" s="1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row>
    <row r="56" ht="15" customHeight="1" s="15">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row>
    <row r="57" ht="15" customHeight="1" s="15">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row>
    <row r="58" ht="15" customHeight="1" s="15">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row>
    <row r="59" ht="15" customHeight="1" s="15">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row>
    <row r="60" ht="15" customHeight="1" s="15">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row>
    <row r="61" ht="15" customHeight="1" s="15">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row>
    <row r="62" ht="15" customHeight="1" s="15">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row>
    <row r="63" ht="15" customHeight="1" s="15">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row>
    <row r="64" ht="15" customHeight="1" s="15">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row>
    <row r="65" ht="15" customHeight="1" s="15">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row>
    <row r="66" ht="15" customHeight="1" s="15">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row>
    <row r="67" ht="15" customHeight="1" s="15">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row>
    <row r="68" ht="15" customHeight="1" s="15">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row>
    <row r="69" ht="15" customHeight="1" s="15">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row>
    <row r="70" ht="15" customHeight="1" s="15">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row>
    <row r="71" ht="15" customHeight="1" s="15">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row>
    <row r="72" ht="15" customHeight="1" s="15">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row>
    <row r="73" ht="15" customHeight="1" s="15">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row>
    <row r="74" ht="15" customHeight="1" s="15">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row>
    <row r="75" ht="15" customHeight="1" s="15">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row>
    <row r="76" ht="15" customHeight="1" s="15">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row>
    <row r="77" ht="15" customHeight="1" s="15">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row>
    <row r="78" ht="15" customHeight="1" s="15">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row>
    <row r="79" ht="15" customHeight="1" s="15">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row>
    <row r="80" ht="15" customHeight="1" s="15">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row>
    <row r="81" ht="15" customHeight="1" s="15">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row>
    <row r="82" ht="15" customHeight="1" s="15">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row>
    <row r="83" ht="15" customHeight="1" s="15">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row>
    <row r="84" ht="15" customHeight="1" s="15">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row>
    <row r="85" ht="15" customHeight="1" s="15">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row>
    <row r="86" ht="15" customHeight="1" s="15">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row>
    <row r="87" ht="15" customHeight="1" s="15">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row>
    <row r="88" ht="15" customHeight="1" s="15">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row>
    <row r="89" ht="15" customHeight="1" s="15">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row>
    <row r="90" ht="15" customHeight="1" s="15">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row>
    <row r="91" ht="15" customHeight="1" s="15">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row>
    <row r="92" ht="15" customHeight="1" s="15">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row>
    <row r="93" ht="15" customHeight="1" s="15">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row>
    <row r="94" ht="15" customHeight="1" s="15">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row>
    <row r="95" ht="15" customHeight="1" s="15">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row>
    <row r="96" ht="15" customHeight="1" s="15">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row>
    <row r="97" ht="15" customHeight="1" s="15">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row>
    <row r="98" ht="15" customHeight="1" s="15">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row>
    <row r="99" ht="15" customHeight="1" s="15">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row>
    <row r="100" ht="15" customHeight="1" s="15">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row>
    <row r="101" ht="15" customHeight="1" s="15">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row>
    <row r="102" ht="15" customHeight="1" s="15">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row>
    <row r="103" ht="15" customHeight="1" s="15">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row>
    <row r="104" ht="15" customHeight="1" s="15">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row>
    <row r="105" ht="15" customHeight="1" s="15">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row>
    <row r="106" ht="15" customHeight="1" s="15">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row>
    <row r="107" ht="15" customHeight="1" s="15">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row>
    <row r="108" ht="15" customHeight="1" s="15">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row>
    <row r="109" ht="15" customHeight="1" s="15">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row>
    <row r="110" ht="15" customHeight="1" s="15">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row>
    <row r="111" ht="15" customHeight="1" s="15">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row>
    <row r="112" ht="15" customHeight="1" s="15">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row>
    <row r="113" ht="15" customHeight="1" s="15">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row>
    <row r="114" ht="15" customHeight="1" s="15">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row>
    <row r="115" ht="15" customHeight="1" s="15">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row>
    <row r="116" ht="15" customHeight="1" s="15">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row>
    <row r="117" ht="15" customHeight="1" s="15">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row>
    <row r="118" ht="15" customHeight="1" s="15">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row>
    <row r="119" ht="15" customHeight="1" s="15">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row>
    <row r="120" ht="15" customHeight="1" s="15">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row>
    <row r="121" ht="15" customHeight="1" s="15">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row>
    <row r="122" ht="15" customHeight="1" s="15">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row>
    <row r="123" ht="15" customHeight="1" s="15">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row>
    <row r="124" ht="15" customHeight="1" s="15">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row>
    <row r="125" ht="15" customHeight="1" s="15">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row>
    <row r="126" ht="15" customHeight="1" s="15">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row>
    <row r="127" ht="15" customHeight="1" s="15">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row>
    <row r="128" ht="15" customHeight="1" s="15">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row>
    <row r="129" ht="15" customHeight="1" s="15">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row>
    <row r="130" ht="15" customHeight="1" s="15">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row>
    <row r="131" ht="15" customHeight="1" s="15">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row>
    <row r="132" ht="15" customHeight="1" s="15">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row>
    <row r="133" ht="15" customHeight="1" s="15">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row>
    <row r="134" ht="15" customHeight="1" s="15">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row>
    <row r="135" ht="15" customHeight="1" s="15">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row>
    <row r="136" ht="15" customHeight="1" s="15">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row>
    <row r="137" ht="15" customHeight="1" s="15">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row>
    <row r="138" ht="15" customHeight="1" s="15">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row>
    <row r="139" ht="15" customHeight="1" s="15">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row>
    <row r="140" ht="15" customHeight="1" s="15">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row>
    <row r="141" ht="15" customHeight="1" s="15">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row>
    <row r="142" ht="15" customHeight="1" s="15">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row>
    <row r="143" ht="15" customHeight="1" s="15">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row>
    <row r="144" ht="15" customHeight="1" s="15">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row>
    <row r="145" ht="15" customHeight="1" s="15">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row>
    <row r="146" ht="15" customHeight="1" s="15">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row>
    <row r="147" ht="15" customHeight="1" s="15">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row>
    <row r="148" ht="15" customHeight="1" s="15">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row>
    <row r="149" ht="15" customHeight="1" s="15">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row>
    <row r="150" ht="15" customHeight="1" s="15">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row>
    <row r="151" ht="15" customHeight="1" s="15">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row>
    <row r="152" ht="15" customHeight="1" s="15">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row>
    <row r="153" ht="15" customHeight="1" s="15">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row>
    <row r="154" ht="15" customHeight="1" s="15">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row>
    <row r="155" ht="15" customHeight="1" s="15">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row>
    <row r="156" ht="15" customHeight="1" s="15">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row>
    <row r="157" ht="15" customHeight="1" s="15">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row>
    <row r="158" ht="15" customHeight="1" s="15">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row>
    <row r="159" ht="15" customHeight="1" s="15">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row>
    <row r="160" ht="15" customHeight="1" s="15">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row>
    <row r="161" ht="15" customHeight="1" s="15">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row>
    <row r="162" ht="15" customHeight="1" s="15">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row>
    <row r="163" ht="15" customHeight="1" s="15">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row>
    <row r="164" ht="15" customHeight="1" s="15">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row>
    <row r="165" ht="15" customHeight="1" s="15">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row>
    <row r="166" ht="15" customHeight="1" s="15">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row>
    <row r="167" ht="15" customHeight="1" s="15">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row>
    <row r="168" ht="15" customHeight="1" s="15">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row>
    <row r="169" ht="15" customHeight="1" s="15">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row>
    <row r="170" ht="15" customHeight="1" s="15">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row>
    <row r="171" ht="15" customHeight="1" s="15">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row>
    <row r="172" ht="15" customHeight="1" s="15">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row>
    <row r="173" ht="15" customHeight="1" s="15">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row>
    <row r="174" ht="15" customHeight="1" s="15">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row>
    <row r="175" ht="15" customHeight="1" s="15">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row>
    <row r="176" ht="15" customHeight="1" s="15">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row>
    <row r="177" ht="15" customHeight="1" s="15">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row>
    <row r="178" ht="15" customHeight="1" s="15">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row>
    <row r="179" ht="15" customHeight="1" s="15">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row>
    <row r="180" ht="15" customHeight="1" s="15">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row>
    <row r="181" ht="15" customHeight="1" s="15">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row>
    <row r="182" ht="15" customHeight="1" s="15">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row>
    <row r="183" ht="15" customHeight="1" s="15">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row>
    <row r="184" ht="15" customHeight="1" s="15">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row>
    <row r="185" ht="15" customHeight="1" s="15">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row>
    <row r="186" ht="15" customHeight="1" s="15">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row>
    <row r="187" ht="15" customHeight="1" s="15">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row>
    <row r="188" ht="15" customHeight="1" s="15">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row>
    <row r="189" ht="15" customHeight="1" s="15">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row>
    <row r="190" ht="15" customHeight="1" s="15">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row>
    <row r="191" ht="15" customHeight="1" s="15">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row>
    <row r="192" ht="15" customHeight="1" s="15">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row>
    <row r="193" ht="15" customHeight="1" s="15">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row>
    <row r="194" ht="15" customHeight="1" s="15">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row>
    <row r="195" ht="15" customHeight="1" s="15">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row>
    <row r="196" ht="15" customHeight="1" s="15">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row>
    <row r="197" ht="15" customHeight="1" s="15">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row>
    <row r="198" ht="15" customHeight="1" s="15">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row>
    <row r="199" ht="15" customHeight="1" s="15">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row>
    <row r="200" ht="15" customHeight="1" s="15">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row>
  </sheetData>
  <mergeCells count="2">
    <mergeCell ref="A1:I1"/>
    <mergeCell ref="A2:I2"/>
  </mergeCells>
  <conditionalFormatting sqref="E6:E25">
    <cfRule type="containsText" rank="0" priority="2" equalAverage="0" operator="containsText" aboveAverage="0" dxfId="13" text="Approved" percent="0" bottom="0">
      <formula>NOT(ISERROR(SEARCH("Approved",E6)))</formula>
    </cfRule>
    <cfRule type="containsText" rank="0" priority="3" equalAverage="0" operator="containsText" aboveAverage="0" dxfId="13" text="Passed" percent="0" bottom="0">
      <formula>NOT(ISERROR(SEARCH("Passed",E6)))</formula>
    </cfRule>
    <cfRule type="containsText" rank="0" priority="4" equalAverage="0" operator="containsText" aboveAverage="0" dxfId="13" text="Released" percent="0" bottom="0">
      <formula>NOT(ISERROR(SEARCH("Released",E6)))</formula>
    </cfRule>
    <cfRule type="containsText" rank="0" priority="5" equalAverage="0" operator="containsText" aboveAverage="0" dxfId="1" text="Project Owner review" percent="0" bottom="0">
      <formula>NOT(ISERROR(SEARCH("Project Owner review",E6)))</formula>
    </cfRule>
    <cfRule type="containsText" rank="0" priority="6" equalAverage="0" operator="containsText" aboveAverage="0" dxfId="14" text="Pending" percent="0" bottom="0">
      <formula>NOT(ISERROR(SEARCH("Pending",E6)))</formula>
    </cfRule>
    <cfRule type="containsText" rank="0" priority="7" equalAverage="0" operator="containsText" aboveAverage="0" dxfId="0" text="Blocked" percent="0" bottom="0">
      <formula>NOT(ISERROR(SEARCH("Blocked",E6)))</formula>
    </cfRule>
    <cfRule type="containsText" rank="0" priority="8" equalAverage="0" operator="containsText" aboveAverage="0" dxfId="0" text="unresolved" percent="0" bottom="0">
      <formula>NOT(ISERROR(SEARCH("unresolved",E6)))</formula>
    </cfRule>
    <cfRule type="containsText" rank="0" priority="9" equalAverage="0" operator="containsText" aboveAverage="0" dxfId="15" text="Not started" percent="0" bottom="0">
      <formula>NOT(ISERROR(SEARCH("Not started",E6)))</formula>
    </cfRule>
    <cfRule type="containsText" rank="0" priority="10" equalAverage="0" operator="containsText" aboveAverage="0" dxfId="15" text="Not evidenced" percent="0" bottom="0">
      <formula>NOT(ISERROR(SEARCH("Not evidenced",E6)))</formula>
    </cfRule>
  </conditionalFormatting>
  <conditionalFormatting sqref="F6:F25">
    <cfRule type="containsText" rank="0" priority="11" equalAverage="0" operator="containsText" aboveAverage="0" dxfId="13" text="Approved" percent="0" bottom="0">
      <formula>NOT(ISERROR(SEARCH("Approved",F6)))</formula>
    </cfRule>
    <cfRule type="containsText" rank="0" priority="12" equalAverage="0" operator="containsText" aboveAverage="0" dxfId="13" text="Passed" percent="0" bottom="0">
      <formula>NOT(ISERROR(SEARCH("Passed",F6)))</formula>
    </cfRule>
    <cfRule type="containsText" rank="0" priority="13" equalAverage="0" operator="containsText" aboveAverage="0" dxfId="13" text="Released" percent="0" bottom="0">
      <formula>NOT(ISERROR(SEARCH("Released",F6)))</formula>
    </cfRule>
    <cfRule type="containsText" rank="0" priority="14" equalAverage="0" operator="containsText" aboveAverage="0" dxfId="1" text="Project Owner review" percent="0" bottom="0">
      <formula>NOT(ISERROR(SEARCH("Project Owner review",F6)))</formula>
    </cfRule>
    <cfRule type="containsText" rank="0" priority="15" equalAverage="0" operator="containsText" aboveAverage="0" dxfId="14" text="Pending" percent="0" bottom="0">
      <formula>NOT(ISERROR(SEARCH("Pending",F6)))</formula>
    </cfRule>
    <cfRule type="containsText" rank="0" priority="16" equalAverage="0" operator="containsText" aboveAverage="0" dxfId="0" text="Blocked" percent="0" bottom="0">
      <formula>NOT(ISERROR(SEARCH("Blocked",F6)))</formula>
    </cfRule>
    <cfRule type="containsText" rank="0" priority="17" equalAverage="0" operator="containsText" aboveAverage="0" dxfId="0" text="unresolved" percent="0" bottom="0">
      <formula>NOT(ISERROR(SEARCH("unresolved",F6)))</formula>
    </cfRule>
    <cfRule type="containsText" rank="0" priority="18" equalAverage="0" operator="containsText" aboveAverage="0" dxfId="15" text="Not started" percent="0" bottom="0">
      <formula>NOT(ISERROR(SEARCH("Not started",F6)))</formula>
    </cfRule>
    <cfRule type="containsText" rank="0" priority="19" equalAverage="0" operator="containsText" aboveAverage="0" dxfId="15" text="Not evidenced" percent="0" bottom="0">
      <formula>NOT(ISERROR(SEARCH("Not evidenced",F6)))</formula>
    </cfRule>
  </conditionalFormatting>
  <conditionalFormatting sqref="G6:G25">
    <cfRule type="containsText" rank="0" priority="20" equalAverage="0" operator="containsText" aboveAverage="0" dxfId="13" text="Approved" percent="0" bottom="0">
      <formula>NOT(ISERROR(SEARCH("Approved",G6)))</formula>
    </cfRule>
    <cfRule type="containsText" rank="0" priority="21" equalAverage="0" operator="containsText" aboveAverage="0" dxfId="13" text="Passed" percent="0" bottom="0">
      <formula>NOT(ISERROR(SEARCH("Passed",G6)))</formula>
    </cfRule>
    <cfRule type="containsText" rank="0" priority="22" equalAverage="0" operator="containsText" aboveAverage="0" dxfId="13" text="Released" percent="0" bottom="0">
      <formula>NOT(ISERROR(SEARCH("Released",G6)))</formula>
    </cfRule>
    <cfRule type="containsText" rank="0" priority="23" equalAverage="0" operator="containsText" aboveAverage="0" dxfId="1" text="Project Owner review" percent="0" bottom="0">
      <formula>NOT(ISERROR(SEARCH("Project Owner review",G6)))</formula>
    </cfRule>
    <cfRule type="containsText" rank="0" priority="24" equalAverage="0" operator="containsText" aboveAverage="0" dxfId="14" text="Pending" percent="0" bottom="0">
      <formula>NOT(ISERROR(SEARCH("Pending",G6)))</formula>
    </cfRule>
    <cfRule type="containsText" rank="0" priority="25" equalAverage="0" operator="containsText" aboveAverage="0" dxfId="0" text="Blocked" percent="0" bottom="0">
      <formula>NOT(ISERROR(SEARCH("Blocked",G6)))</formula>
    </cfRule>
    <cfRule type="containsText" rank="0" priority="26" equalAverage="0" operator="containsText" aboveAverage="0" dxfId="0" text="unresolved" percent="0" bottom="0">
      <formula>NOT(ISERROR(SEARCH("unresolved",G6)))</formula>
    </cfRule>
    <cfRule type="containsText" rank="0" priority="27" equalAverage="0" operator="containsText" aboveAverage="0" dxfId="15" text="Not started" percent="0" bottom="0">
      <formula>NOT(ISERROR(SEARCH("Not started",G6)))</formula>
    </cfRule>
    <cfRule type="containsText" rank="0" priority="28" equalAverage="0" operator="containsText" aboveAverage="0" dxfId="15" text="Not evidenced" percent="0" bottom="0">
      <formula>NOT(ISERROR(SEARCH("Not evidenced",G6)))</formula>
    </cfRule>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4472C4"/>
    <outlinePr summaryBelow="1" summaryRight="1"/>
    <pageSetUpPr/>
  </sheetPr>
  <dimension ref="A1:Z200"/>
  <sheetViews>
    <sheetView showGridLines="0" workbookViewId="0">
      <pane xSplit="1" ySplit="5" topLeftCell="B6" activePane="bottomRight" state="frozen"/>
      <selection activeCell="A1" sqref="A1"/>
    </sheetView>
  </sheetViews>
  <sheetFormatPr baseColWidth="8" defaultColWidth="8.6796875" defaultRowHeight="15"/>
  <cols>
    <col width="14" customWidth="1" style="14" min="1" max="1"/>
    <col width="56" customWidth="1" style="14" min="2" max="2"/>
    <col width="14" customWidth="1" style="14" min="3" max="3"/>
    <col width="34" customWidth="1" style="14" min="4" max="4"/>
    <col width="46" customWidth="1" style="14" min="5" max="6"/>
  </cols>
  <sheetData>
    <row r="1" ht="37.5" customHeight="1" s="15">
      <c r="A1" s="16" t="inlineStr">
        <is>
          <t>Controlled decisions</t>
        </is>
      </c>
      <c r="G1" s="17" t="n"/>
      <c r="H1" s="17" t="n"/>
      <c r="I1" s="17" t="n"/>
      <c r="J1" s="17" t="n"/>
      <c r="K1" s="17" t="n"/>
      <c r="L1" s="17" t="n"/>
      <c r="M1" s="17" t="n"/>
      <c r="N1" s="17" t="n"/>
      <c r="O1" s="17" t="n"/>
      <c r="P1" s="17" t="n"/>
      <c r="Q1" s="17" t="n"/>
      <c r="R1" s="17" t="n"/>
      <c r="S1" s="17" t="n"/>
      <c r="T1" s="17" t="n"/>
      <c r="U1" s="17" t="n"/>
      <c r="V1" s="17" t="n"/>
      <c r="W1" s="17" t="n"/>
      <c r="X1" s="17" t="n"/>
      <c r="Y1" s="17" t="n"/>
      <c r="Z1" s="17" t="n"/>
    </row>
    <row r="2" ht="33.75" customHeight="1" s="15">
      <c r="A2" s="18" t="inlineStr">
        <is>
          <t>Approved version set: 2026-10-11. Proposals up to 2026-10-11 are listed beside it. Design work remains open; CM and template walkthrough deferred.</t>
        </is>
      </c>
      <c r="G2" s="17" t="n"/>
      <c r="H2" s="17" t="n"/>
      <c r="I2" s="17" t="n"/>
      <c r="J2" s="17" t="n"/>
      <c r="K2" s="17" t="n"/>
      <c r="L2" s="17" t="n"/>
      <c r="M2" s="17" t="n"/>
      <c r="N2" s="17" t="n"/>
      <c r="O2" s="17" t="n"/>
      <c r="P2" s="17" t="n"/>
      <c r="Q2" s="17" t="n"/>
      <c r="R2" s="17" t="n"/>
      <c r="S2" s="17" t="n"/>
      <c r="T2" s="17" t="n"/>
      <c r="U2" s="17" t="n"/>
      <c r="V2" s="17" t="n"/>
      <c r="W2" s="17" t="n"/>
      <c r="X2" s="17" t="n"/>
      <c r="Y2" s="17" t="n"/>
      <c r="Z2" s="17" t="n"/>
    </row>
    <row r="3" ht="15" customHeight="1" s="15">
      <c r="A3" s="17" t="n"/>
      <c r="B3" s="17" t="n"/>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row>
    <row r="4" ht="15" customHeight="1" s="15">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row>
    <row r="5" ht="36" customHeight="1" s="15">
      <c r="A5" s="32" t="inlineStr">
        <is>
          <t>Decision ID</t>
        </is>
      </c>
      <c r="B5" s="32" t="inlineStr">
        <is>
          <t>Decision</t>
        </is>
      </c>
      <c r="C5" s="32" t="inlineStr">
        <is>
          <t>Status</t>
        </is>
      </c>
      <c r="D5" s="32" t="inlineStr">
        <is>
          <t>Owning document</t>
        </is>
      </c>
      <c r="E5" s="32" t="inlineStr">
        <is>
          <t>Implementation effect</t>
        </is>
      </c>
      <c r="F5" s="32" t="inlineStr">
        <is>
          <t>Design effect</t>
        </is>
      </c>
      <c r="G5" s="17" t="n"/>
      <c r="H5" s="17" t="n"/>
      <c r="I5" s="17" t="n"/>
      <c r="J5" s="17" t="n"/>
      <c r="K5" s="17" t="n"/>
      <c r="L5" s="17" t="n"/>
      <c r="M5" s="17" t="n"/>
      <c r="N5" s="17" t="n"/>
      <c r="O5" s="17" t="n"/>
      <c r="P5" s="17" t="n"/>
      <c r="Q5" s="17" t="n"/>
      <c r="R5" s="17" t="n"/>
      <c r="S5" s="17" t="n"/>
      <c r="T5" s="17" t="n"/>
      <c r="U5" s="17" t="n"/>
      <c r="V5" s="17" t="n"/>
      <c r="W5" s="17" t="n"/>
      <c r="X5" s="17" t="n"/>
      <c r="Y5" s="17" t="n"/>
      <c r="Z5" s="17" t="n"/>
    </row>
    <row r="6" ht="43.5" customHeight="1" s="15">
      <c r="A6" s="17" t="inlineStr">
        <is>
          <t>DEC-001</t>
        </is>
      </c>
      <c r="B6" s="27" t="inlineStr">
        <is>
          <t>Each site represents one procuring entity for MVP; organisational units are scoped within it.</t>
        </is>
      </c>
      <c r="C6" s="17" t="inlineStr">
        <is>
          <t>Approved</t>
        </is>
      </c>
      <c r="D6" s="27" t="inlineStr">
        <is>
          <t>CFG-CHG-002 / AUTH-ADR-001</t>
        </is>
      </c>
      <c r="E6" s="27" t="inlineStr">
        <is>
          <t>Do not add routine procuring-entity selectors.</t>
        </is>
      </c>
      <c r="F6" s="27" t="inlineStr">
        <is>
          <t>Show organisational scope only where it affects the task.</t>
        </is>
      </c>
      <c r="G6" s="17" t="n"/>
      <c r="H6" s="17" t="n"/>
      <c r="I6" s="17" t="n"/>
      <c r="J6" s="17" t="n"/>
      <c r="K6" s="17" t="n"/>
      <c r="L6" s="17" t="n"/>
      <c r="M6" s="17" t="n"/>
      <c r="N6" s="17" t="n"/>
      <c r="O6" s="17" t="n"/>
      <c r="P6" s="17" t="n"/>
      <c r="Q6" s="17" t="n"/>
      <c r="R6" s="17" t="n"/>
      <c r="S6" s="17" t="n"/>
      <c r="T6" s="17" t="n"/>
      <c r="U6" s="17" t="n"/>
      <c r="V6" s="17" t="n"/>
      <c r="W6" s="17" t="n"/>
      <c r="X6" s="17" t="n"/>
      <c r="Y6" s="17" t="n"/>
      <c r="Z6" s="17" t="n"/>
    </row>
    <row r="7" ht="43.5" customHeight="1" s="15">
      <c r="A7" s="17" t="inlineStr">
        <is>
          <t>DEC-002</t>
        </is>
      </c>
      <c r="B7" s="27" t="inlineStr">
        <is>
          <t>Departmental consultation is optional evidence, not a mandatory workflow gate.</t>
        </is>
      </c>
      <c r="C7" s="17" t="inlineStr">
        <is>
          <t>Approved</t>
        </is>
      </c>
      <c r="D7" s="27" t="inlineStr">
        <is>
          <t>NDS-CHG-001</t>
        </is>
      </c>
      <c r="E7" s="27" t="inlineStr">
        <is>
          <t>Acceptance remains possible without consultation when authorised.</t>
        </is>
      </c>
      <c r="F7" s="27" t="inlineStr">
        <is>
          <t>Keep consultation in supporting detail.</t>
        </is>
      </c>
      <c r="G7" s="17" t="n"/>
      <c r="H7" s="17" t="n"/>
      <c r="I7" s="17" t="n"/>
      <c r="J7" s="17" t="n"/>
      <c r="K7" s="17" t="n"/>
      <c r="L7" s="17" t="n"/>
      <c r="M7" s="17" t="n"/>
      <c r="N7" s="17" t="n"/>
      <c r="O7" s="17" t="n"/>
      <c r="P7" s="17" t="n"/>
      <c r="Q7" s="17" t="n"/>
      <c r="R7" s="17" t="n"/>
      <c r="S7" s="17" t="n"/>
      <c r="T7" s="17" t="n"/>
      <c r="U7" s="17" t="n"/>
      <c r="V7" s="17" t="n"/>
      <c r="W7" s="17" t="n"/>
      <c r="X7" s="17" t="n"/>
      <c r="Y7" s="17" t="n"/>
      <c r="Z7" s="17" t="n"/>
    </row>
    <row r="8" ht="43.5" customHeight="1" s="15">
      <c r="A8" s="17" t="inlineStr">
        <is>
          <t>DEC-003</t>
        </is>
      </c>
      <c r="B8" s="27" t="inlineStr">
        <is>
          <t>Requisitions and bids use structured requirement rows rather than attachment-first data capture.</t>
        </is>
      </c>
      <c r="C8" s="17" t="inlineStr">
        <is>
          <t>Approved</t>
        </is>
      </c>
      <c r="D8" s="27" t="inlineStr">
        <is>
          <t>REQ-CHG-001 / STD-TPL-001 / BDS-CHG-001</t>
        </is>
      </c>
      <c r="E8" s="27" t="inlineStr">
        <is>
          <t>Preserve stable row identities and typed responses.</t>
        </is>
      </c>
      <c r="F8" s="27" t="inlineStr">
        <is>
          <t>Generate concise task-oriented sections from metadata.</t>
        </is>
      </c>
      <c r="G8" s="17" t="n"/>
      <c r="H8" s="17" t="n"/>
      <c r="I8" s="17" t="n"/>
      <c r="J8" s="17" t="n"/>
      <c r="K8" s="17" t="n"/>
      <c r="L8" s="17" t="n"/>
      <c r="M8" s="17" t="n"/>
      <c r="N8" s="17" t="n"/>
      <c r="O8" s="17" t="n"/>
      <c r="P8" s="17" t="n"/>
      <c r="Q8" s="17" t="n"/>
      <c r="R8" s="17" t="n"/>
      <c r="S8" s="17" t="n"/>
      <c r="T8" s="17" t="n"/>
      <c r="U8" s="17" t="n"/>
      <c r="V8" s="17" t="n"/>
      <c r="W8" s="17" t="n"/>
      <c r="X8" s="17" t="n"/>
      <c r="Y8" s="17" t="n"/>
      <c r="Z8" s="17" t="n"/>
    </row>
    <row r="9" ht="43.5" customHeight="1" s="15">
      <c r="A9" s="17" t="inlineStr">
        <is>
          <t>DEC-004</t>
        </is>
      </c>
      <c r="B9" s="27" t="inlineStr">
        <is>
          <t>Tender formats are curated controlled releases; administrators do not build legal templates through a generic field wizard.</t>
        </is>
      </c>
      <c r="C9" s="17" t="inlineStr">
        <is>
          <t>Approved</t>
        </is>
      </c>
      <c r="D9" s="27" t="inlineStr">
        <is>
          <t>STD-TPL-001</t>
        </is>
      </c>
      <c r="E9" s="27" t="inlineStr">
        <is>
          <t>Release tooling is controlled and manifest-based.</t>
        </is>
      </c>
      <c r="F9" s="27" t="inlineStr">
        <is>
          <t>Admin UI shows content and site On/Off state, never a generic schema editor.</t>
        </is>
      </c>
      <c r="G9" s="17" t="n"/>
      <c r="H9" s="17" t="n"/>
      <c r="I9" s="17" t="n"/>
      <c r="J9" s="17" t="n"/>
      <c r="K9" s="17" t="n"/>
      <c r="L9" s="17" t="n"/>
      <c r="M9" s="17" t="n"/>
      <c r="N9" s="17" t="n"/>
      <c r="O9" s="17" t="n"/>
      <c r="P9" s="17" t="n"/>
      <c r="Q9" s="17" t="n"/>
      <c r="R9" s="17" t="n"/>
      <c r="S9" s="17" t="n"/>
      <c r="T9" s="17" t="n"/>
      <c r="U9" s="17" t="n"/>
      <c r="V9" s="17" t="n"/>
      <c r="W9" s="17" t="n"/>
      <c r="X9" s="17" t="n"/>
      <c r="Y9" s="17" t="n"/>
      <c r="Z9" s="17" t="n"/>
    </row>
    <row r="10" ht="43.5" customHeight="1" s="15">
      <c r="A10" s="17" t="inlineStr">
        <is>
          <t>DEC-005</t>
        </is>
      </c>
      <c r="B10" s="27" t="inlineStr">
        <is>
          <t>Move tender-format administration to a dedicated STD Templates menu.</t>
        </is>
      </c>
      <c r="C10" s="17" t="inlineStr">
        <is>
          <t>Approved</t>
        </is>
      </c>
      <c r="D10" s="27" t="inlineStr">
        <is>
          <t>STD-TPL-001 / CFG-CHG-002</t>
        </is>
      </c>
      <c r="E10" s="27" t="inlineStr">
        <is>
          <t>One authoritative inspection surface.</t>
        </is>
      </c>
      <c r="F10" s="27" t="inlineStr">
        <is>
          <t>List, detail, previews, verification and release state are visible.</t>
        </is>
      </c>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row>
    <row r="11" ht="43.5" customHeight="1" s="15">
      <c r="A11" s="17" t="inlineStr">
        <is>
          <t>DEC-006</t>
        </is>
      </c>
      <c r="B11" s="27" t="inlineStr">
        <is>
          <t>The statutory 30% reservation denominator is the eligible value of the current complete APP, not the Budget ceiling.</t>
        </is>
      </c>
      <c r="C11" s="17" t="inlineStr">
        <is>
          <t>Approved</t>
        </is>
      </c>
      <c r="D11" s="27" t="inlineStr">
        <is>
          <t>LAW-REG-001 / PLN-CHG-001</t>
        </is>
      </c>
      <c r="E11" s="27" t="inlineStr">
        <is>
          <t>Compute from APP items and preserve denominator evidence.</t>
        </is>
      </c>
      <c r="F11" s="27" t="inlineStr">
        <is>
          <t>Show progress and lawful treatment without exposing internal rule machinery by default.</t>
        </is>
      </c>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row>
    <row r="12" ht="43.5" customHeight="1" s="15">
      <c r="A12" s="17" t="inlineStr">
        <is>
          <t>DEC-007</t>
        </is>
      </c>
      <c r="B12" s="27" t="inlineStr">
        <is>
          <t>Budget ceiling and affordability remain separate from the statutory reservation measure.</t>
        </is>
      </c>
      <c r="C12" s="17" t="inlineStr">
        <is>
          <t>Approved</t>
        </is>
      </c>
      <c r="D12" s="27" t="inlineStr">
        <is>
          <t>BUD-CHG-001 / PLN-CHG-001</t>
        </is>
      </c>
      <c r="E12" s="27" t="inlineStr">
        <is>
          <t>Separate services and data contracts.</t>
        </is>
      </c>
      <c r="F12" s="27" t="inlineStr">
        <is>
          <t>Do not ask users to enter a reservation denominator in Budget.</t>
        </is>
      </c>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row>
    <row r="13" ht="43.5" customHeight="1" s="15">
      <c r="A13" s="17" t="inlineStr">
        <is>
          <t>DEC-008</t>
        </is>
      </c>
      <c r="B13" s="27" t="inlineStr">
        <is>
          <t>County resident procurement is a separate measure from the 30% reservation programme.</t>
        </is>
      </c>
      <c r="C13" s="17" t="inlineStr">
        <is>
          <t>Approved</t>
        </is>
      </c>
      <c r="D13" s="27" t="inlineStr">
        <is>
          <t>LAW-REG-001 / PLN-CHG-001</t>
        </is>
      </c>
      <c r="E13" s="27" t="inlineStr">
        <is>
          <t>Separate flags, rules and reports.</t>
        </is>
      </c>
      <c r="F13" s="27" t="inlineStr">
        <is>
          <t>Do not combine them into one designation field or result.</t>
        </is>
      </c>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row>
    <row r="14" ht="43.5" customHeight="1" s="15">
      <c r="A14" s="17" t="inlineStr">
        <is>
          <t>DEC-009</t>
        </is>
      </c>
      <c r="B14" s="27" t="inlineStr">
        <is>
          <t>Tender Preparation and Tender Publication form one Tenders module and one coherent user journey.</t>
        </is>
      </c>
      <c r="C14" s="17" t="inlineStr">
        <is>
          <t>Approved</t>
        </is>
      </c>
      <c r="D14" s="27" t="inlineStr">
        <is>
          <t>TPR-CHG-001</t>
        </is>
      </c>
      <c r="E14" s="27" t="inlineStr">
        <is>
          <t>One lifecycle and ownership model.</t>
        </is>
      </c>
      <c r="F14" s="27" t="inlineStr">
        <is>
          <t>Preparation naturally continues into approval and publication evidence.</t>
        </is>
      </c>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row>
    <row r="15" ht="43.5" customHeight="1" s="15">
      <c r="A15" s="17" t="inlineStr">
        <is>
          <t>DEC-010</t>
        </is>
      </c>
      <c r="B15" s="27" t="inlineStr">
        <is>
          <t>For MVP, HOPF may manually confirm publication evidence for any configured channel; integration is not presumed.</t>
        </is>
      </c>
      <c r="C15" s="17" t="inlineStr">
        <is>
          <t>Approved</t>
        </is>
      </c>
      <c r="D15" s="27" t="inlineStr">
        <is>
          <t>TPR-CHG-001 / CFG-CHG-002</t>
        </is>
      </c>
      <c r="E15" s="27" t="inlineStr">
        <is>
          <t>Support manual evidence with actor/time/digest/reference.</t>
        </is>
      </c>
      <c r="F15" s="27" t="inlineStr">
        <is>
          <t>Show one channel list with the appropriate confirmation action.</t>
        </is>
      </c>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row>
    <row r="16" ht="43.5" customHeight="1" s="15">
      <c r="A16" s="17" t="inlineStr">
        <is>
          <t>DEC-011</t>
        </is>
      </c>
      <c r="B16" s="27" t="inlineStr">
        <is>
          <t>Suppliers start a bid atomically; there is no separate Declare interest or Follow Tender workflow.</t>
        </is>
      </c>
      <c r="C16" s="17" t="inlineStr">
        <is>
          <t>Approved</t>
        </is>
      </c>
      <c r="D16" s="27" t="inlineStr">
        <is>
          <t>BDS-CHG-001</t>
        </is>
      </c>
      <c r="E16" s="27" t="inlineStr">
        <is>
          <t>Create candidate registration, contact and workspace together.</t>
        </is>
      </c>
      <c r="F16" s="27" t="inlineStr">
        <is>
          <t>Use one direct Start bid action.</t>
        </is>
      </c>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row>
    <row r="17" ht="43.5" customHeight="1" s="15">
      <c r="A17" s="17" t="inlineStr">
        <is>
          <t>DEC-012</t>
        </is>
      </c>
      <c r="B17" s="27" t="inlineStr">
        <is>
          <t>General clarifications may be published before the deadline without disclosing candidate identity.</t>
        </is>
      </c>
      <c r="C17" s="17" t="inlineStr">
        <is>
          <t>Approved</t>
        </is>
      </c>
      <c r="D17" s="27" t="inlineStr">
        <is>
          <t>TPR-CHG-001 / BDS-CHG-001</t>
        </is>
      </c>
      <c r="E17" s="27" t="inlineStr">
        <is>
          <t>Separate question identity from public answer content.</t>
        </is>
      </c>
      <c r="F17" s="27" t="inlineStr">
        <is>
          <t>Suppliers see published clarification updates in the workspace.</t>
        </is>
      </c>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row>
    <row r="18" ht="43.5" customHeight="1" s="15">
      <c r="A18" s="17" t="inlineStr">
        <is>
          <t>DEC-013</t>
        </is>
      </c>
      <c r="B18" s="27" t="inlineStr">
        <is>
          <t>Any change to issued tender requirements requires an addendum with immutable identity and acknowledgement treatment.</t>
        </is>
      </c>
      <c r="C18" s="17" t="inlineStr">
        <is>
          <t>Approved</t>
        </is>
      </c>
      <c r="D18" s="27" t="inlineStr">
        <is>
          <t>TPR-CHG-001 / BDS-CHG-001</t>
        </is>
      </c>
      <c r="E18" s="27" t="inlineStr">
        <is>
          <t>Clarification cannot mutate published rows.</t>
        </is>
      </c>
      <c r="F18" s="27" t="inlineStr">
        <is>
          <t>Clearly distinguish Clarification from Addendum.</t>
        </is>
      </c>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row>
    <row r="19" ht="43.5" customHeight="1" s="15">
      <c r="A19" s="17" t="inlineStr">
        <is>
          <t>DEC-014</t>
        </is>
      </c>
      <c r="B19" s="27" t="inlineStr">
        <is>
          <t>Production electronic submission remains disabled by one deployment flag until operating and release gates pass.</t>
        </is>
      </c>
      <c r="C19" s="17" t="inlineStr">
        <is>
          <t>Approved</t>
        </is>
      </c>
      <c r="D19" s="27" t="inlineStr">
        <is>
          <t>BDS-CHG-001 / G1-REG-001</t>
        </is>
      </c>
      <c r="E19" s="27" t="inlineStr">
        <is>
          <t>Central gate; drafts remain safe.</t>
        </is>
      </c>
      <c r="F19" s="27" t="inlineStr">
        <is>
          <t>Use the approved temporary-unavailability message.</t>
        </is>
      </c>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row>
    <row r="20" ht="43.5" customHeight="1" s="15">
      <c r="A20" s="17" t="inlineStr">
        <is>
          <t>DEC-015</t>
        </is>
      </c>
      <c r="B20" s="27" t="inlineStr">
        <is>
          <t>Gate 1 ends when a sealed Bid Submission handoff is created; opening and evaluation are outside the current slice.</t>
        </is>
      </c>
      <c r="C20" s="17" t="inlineStr">
        <is>
          <t>Approved</t>
        </is>
      </c>
      <c r="D20" s="27" t="inlineStr">
        <is>
          <t>G1-REG-001 / BDS-CHG-001</t>
        </is>
      </c>
      <c r="E20" s="27" t="inlineStr">
        <is>
          <t>No premature downstream state changes.</t>
        </is>
      </c>
      <c r="F20" s="27" t="inlineStr">
        <is>
          <t>Receipt and submitted state only.</t>
        </is>
      </c>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row>
    <row r="21" ht="43.5" customHeight="1" s="15">
      <c r="A21" s="17" t="inlineStr">
        <is>
          <t>DEC-016</t>
        </is>
      </c>
      <c r="B21" s="27" t="inlineStr">
        <is>
          <t>Bid Opening, Evaluation and Award, Supplier Management, additional methods/products, Contract Management and integrations remain explicitly planned future work.</t>
        </is>
      </c>
      <c r="C21" s="17" t="inlineStr">
        <is>
          <t>Approved</t>
        </is>
      </c>
      <c r="D21" s="27" t="inlineStr">
        <is>
          <t>KT-RCA-001 / G1-REG-001</t>
        </is>
      </c>
      <c r="E21" s="27" t="inlineStr">
        <is>
          <t>Preserve extension contracts without implementing hidden workflows.</t>
        </is>
      </c>
      <c r="F21" s="27" t="inlineStr">
        <is>
          <t>Do not expose placeholder journeys as current capability.</t>
        </is>
      </c>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row>
    <row r="22" ht="43.5" customHeight="1" s="15">
      <c r="A22" s="17" t="inlineStr">
        <is>
          <t>DEC-017</t>
        </is>
      </c>
      <c r="B22" s="27" t="inlineStr">
        <is>
          <t>No meaningful record state may dead-end: the server must return exactly one actionable-now, waiting, blocked-with-remedy or completed next-step outcome for the current responsibility.</t>
        </is>
      </c>
      <c r="C22" s="17" t="inlineStr">
        <is>
          <t>Approved</t>
        </is>
      </c>
      <c r="D22" s="27" t="inlineStr">
        <is>
          <t>KT-STD-001 v1.9 / current module document</t>
        </is>
      </c>
      <c r="E22" s="27" t="inlineStr">
        <is>
          <t>Centralise next-step and guard evaluation and test every supported persona/state pair.</t>
        </is>
      </c>
      <c r="F22" s="27" t="inlineStr">
        <is>
          <t>Show one direct next-step block with owner and correction route; do not leave users to infer workflow from status.</t>
        </is>
      </c>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row>
    <row r="23" ht="43.5" customHeight="1" s="15">
      <c r="A23" s="17" t="inlineStr">
        <is>
          <t>DEC-018</t>
        </is>
      </c>
      <c r="B23" s="27" t="inlineStr">
        <is>
          <t>A Planning budget revision request is a cross-module hand-off only; it is not an amount change, reservation, budget revision or approval.</t>
        </is>
      </c>
      <c r="C23" s="17" t="inlineStr">
        <is>
          <t>Approved</t>
        </is>
      </c>
      <c r="D23" s="27" t="inlineStr">
        <is>
          <t>PLN-CHG-001 v1.27 / BUD-CHG-001 v1.11</t>
        </is>
      </c>
      <c r="E23" s="27" t="inlineStr">
        <is>
          <t>Keep Planning request identity and Budget-owned outcome separate from allocation facts.</t>
        </is>
      </c>
      <c r="F23" s="27" t="inlineStr">
        <is>
          <t>Explain what was requested, who acts next and what outcome returned without implying that funding changed.</t>
        </is>
      </c>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row>
    <row r="24" ht="43.5" customHeight="1" s="15">
      <c r="A24" s="17" t="inlineStr">
        <is>
          <t>DEC-021</t>
        </is>
      </c>
      <c r="B24" s="27" t="inlineStr">
        <is>
          <t>STD Templates provides inspection and concern capture; an audited deployment-only command switches template use On or Off.</t>
        </is>
      </c>
      <c r="C24" s="17" t="inlineStr">
        <is>
          <t>Approved</t>
        </is>
      </c>
      <c r="D24" s="27" t="inlineStr">
        <is>
          <t>STD-TPL-001 v0.10 / FU-01 OD5</t>
        </is>
      </c>
      <c r="E24" s="27" t="inlineStr">
        <is>
          <t>Install verified immutable assets On by default or Off on request; prohibit editable content DocTypes and Desk switching.</t>
        </is>
      </c>
      <c r="F24" s="27" t="inlineStr">
        <is>
          <t>Show coverage and switch state; no Desk switch.</t>
        </is>
      </c>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row>
    <row r="25" ht="43.5" customHeight="1" s="15">
      <c r="A25" s="17" t="inlineStr">
        <is>
          <t>DEC-022</t>
        </is>
      </c>
      <c r="B25" s="27" t="inlineStr">
        <is>
          <t>Fixture and production Bid-definition generation use one deterministic compiler and releases bind a versioned renderer adapter.</t>
        </is>
      </c>
      <c r="C25" s="17" t="inlineStr">
        <is>
          <t>Approved</t>
        </is>
      </c>
      <c r="D25" s="27" t="inlineStr">
        <is>
          <t>STD-TPL-001 v0.10 / STD-TPL-IMP-001 v1.1</t>
        </is>
      </c>
      <c r="E25" s="27" t="inlineStr">
        <is>
          <t>One compiler implementation; adapter-bound rendering; no arbitrary fallback.</t>
        </is>
      </c>
      <c r="F25" s="27" t="inlineStr">
        <is>
          <t>Routine users see supported/unavailable outcomes; technical identities remain in collapsed detail.</t>
        </is>
      </c>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row>
    <row r="26" ht="43.5" customHeight="1" s="15">
      <c r="A26" s="17" t="inlineStr">
        <is>
          <t>DEC-023</t>
        </is>
      </c>
      <c r="B26" s="27" t="inlineStr">
        <is>
          <t>Turning a release Off does not automatically rebind or block an already-bound Tender; safety/legal withdrawal blocks affected unpublished publication.</t>
        </is>
      </c>
      <c r="C26" s="17" t="inlineStr">
        <is>
          <t>Approved</t>
        </is>
      </c>
      <c r="D26" s="27" t="inlineStr">
        <is>
          <t>STD-TPL-001 v0.10 / TPR-CHG-001 v0.12</t>
        </is>
      </c>
      <c r="E26" s="27" t="inlineStr">
        <is>
          <t>Preserve exact bindings and published history; apply the specific withdrawal exception.</t>
        </is>
      </c>
      <c r="F26" s="27" t="inlineStr">
        <is>
          <t>Show the site switch consequence and any withdrawal reason.</t>
        </is>
      </c>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row>
    <row r="27" ht="43.5" customHeight="1" s="15">
      <c r="A27" s="17" t="inlineStr">
        <is>
          <t>DEC-019</t>
        </is>
      </c>
      <c r="B27" s="27" t="inlineStr">
        <is>
          <t>Plan activation creates a REQ-owned Purchase ready for requisition item in the existing Ready to start surface.</t>
        </is>
      </c>
      <c r="C27" s="17" t="inlineStr">
        <is>
          <t>Approved</t>
        </is>
      </c>
      <c r="D27" s="27" t="inlineStr">
        <is>
          <t>PLN-CHG-001 v1.27 / REQ-CHG-001 v1.12</t>
        </is>
      </c>
      <c r="E27" s="27" t="inlineStr">
        <is>
          <t>Use the existing requisition aggregate and lifecycle; add no parallel task record, state, role, command or approval stage.</t>
        </is>
      </c>
      <c r="F27" s="27" t="inlineStr">
        <is>
          <t>Expose the ready item in the current requisition workspace, not as another screen or queue.</t>
        </is>
      </c>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row>
    <row r="28" ht="43.5" customHeight="1" s="15">
      <c r="A28" s="17" t="inlineStr">
        <is>
          <t>DEC-020</t>
        </is>
      </c>
      <c r="B28" s="27" t="inlineStr">
        <is>
          <t>Journey orientation must help users act without duplicating or overwhelming the primary task.</t>
        </is>
      </c>
      <c r="C28" s="17" t="inlineStr">
        <is>
          <t>Approved</t>
        </is>
      </c>
      <c r="D28" s="27" t="inlineStr">
        <is>
          <t>KT-STD-001 v1.9 / Workflow Guidance Standard</t>
        </is>
      </c>
      <c r="E28" s="27" t="inlineStr">
        <is>
          <t>Derive restrained journey context from authoritative workflow state and hand-offs.</t>
        </is>
      </c>
      <c r="F28" s="27" t="inlineStr">
        <is>
          <t>Use concise stage orientation and supporting detail; never replace clear task language with internal state machinery.</t>
        </is>
      </c>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row>
    <row r="29" ht="43.5" customHeight="1" s="15">
      <c r="A29" s="17" t="inlineStr">
        <is>
          <t>DEC-024</t>
        </is>
      </c>
      <c r="B29" s="27" t="inlineStr">
        <is>
          <t>Template use for new Tenders is a deployment-only per-site On/Off switch; installation needs no owner approval and sets On by default unless Off is requested.</t>
        </is>
      </c>
      <c r="C29" s="17" t="inlineStr">
        <is>
          <t>Approved</t>
        </is>
      </c>
      <c r="D29" s="27" t="inlineStr">
        <is>
          <t>STD-TPL-001 v0.10 / FU-01 OD5, 2026-09-26</t>
        </is>
      </c>
      <c r="E29" s="27" t="inlineStr">
        <is>
          <t>New binding requires exactly one On Available release per template key; multiple On releases refuse binding. Existing bindings stay pinned.</t>
        </is>
      </c>
      <c r="F29" s="27" t="inlineStr">
        <is>
          <t>Read-only On/Off state in STD Templates, with actor and time.</t>
        </is>
      </c>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row>
    <row r="30" ht="43.5" customHeight="1" s="15">
      <c r="A30" s="17" t="inlineStr">
        <is>
          <t>DEC-025</t>
        </is>
      </c>
      <c r="B30" s="27" t="inlineStr">
        <is>
          <t>Keep ordinary authenticated workflow decisions distinct from statutory advanced electronic signatures; defer actual signing to the shared Trust, Signing and Custody support module.</t>
        </is>
      </c>
      <c r="C30" s="17" t="inlineStr">
        <is>
          <t>Approved</t>
        </is>
      </c>
      <c r="D30" s="27" t="inlineStr">
        <is>
          <t>TRUST-ADR-001 v0.1, 2026-09-27</t>
        </is>
      </c>
      <c r="E30" s="27" t="inlineStr">
        <is>
          <t>Exact-target, per-member test attestations allowed only with synthetic data and explicit test labels; real signing requires personal provider evidence and legal page/initial mapping.</t>
        </is>
      </c>
      <c r="F30" s="27" t="inlineStr">
        <is>
          <t>Show Test attestation in test profile; no generic approval as a signature.</t>
        </is>
      </c>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row>
    <row r="31" ht="43.5" customHeight="1" s="15">
      <c r="A31" s="17" t="inlineStr">
        <is>
          <t>DEC-026</t>
        </is>
      </c>
      <c r="B31" s="27" t="inlineStr">
        <is>
          <t>Keep sealed-bid custody and multi-person opening release independent of chair/admin authority; defer real keys, provider and threshold to shared infrastructure.</t>
        </is>
      </c>
      <c r="C31" s="17" t="inlineStr">
        <is>
          <t>Approved</t>
        </is>
      </c>
      <c r="D31" s="27" t="inlineStr">
        <is>
          <t>TRUST-ADR-001 v0.1, 2026-09-27</t>
        </is>
      </c>
      <c r="E31" s="27" t="inlineStr">
        <is>
          <t>Synthetic tender-box and two-person test release may exercise ceremony; BDS production submission flag stays false and BOP production disabled until verified real services.</t>
        </is>
      </c>
      <c r="F31" s="27" t="inlineStr">
        <is>
          <t>Visible test-environment status and honest unavailable production guidance; no proxy receipt as a live Submitted bid.</t>
        </is>
      </c>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row>
    <row r="32" ht="43.5" customHeight="1" s="15">
      <c r="A32" s="17" t="inlineStr">
        <is>
          <t>DEC-027</t>
        </is>
      </c>
      <c r="B32" s="27" t="inlineStr">
        <is>
          <t>The Bid Evaluation and Award fixtures run on the canonical Tender's generated reference; the specifications' "tender 033" (TND-MOH-2027-033) is an example of the generated form.</t>
        </is>
      </c>
      <c r="C32" s="17" t="inlineStr">
        <is>
          <t>Approved</t>
        </is>
      </c>
      <c r="D32" s="27" t="inlineStr">
        <is>
          <t>SEED-OPS-001 v1.17 §11 D19; Project Owner, 2026-10-01: "Keep generated codes"</t>
        </is>
      </c>
      <c r="E32" s="27" t="inlineStr">
        <is>
          <t>No seed change. EVL-CHG-001 §11.1 and AWD-CHG-001 §13 state the example form in their next versions.</t>
        </is>
      </c>
      <c r="F32" s="27" t="inlineStr">
        <is>
          <t>None.</t>
        </is>
      </c>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row>
    <row r="33" ht="43.5" customHeight="1" s="15">
      <c r="A33" s="17" t="inlineStr">
        <is>
          <t>DEC-028</t>
        </is>
      </c>
      <c r="B33" s="27" t="inlineStr">
        <is>
          <t>The canonical seed exercises every module stage as it is built.</t>
        </is>
      </c>
      <c r="C33" s="17" t="inlineStr">
        <is>
          <t>Approved</t>
        </is>
      </c>
      <c r="D33" s="27" t="inlineStr">
        <is>
          <t>SEED-OPS-001 v1.17 §11 D20; Project Owner, 2026-10-01: "The seed should exercise all stages as they are built."</t>
        </is>
      </c>
      <c r="E33" s="27" t="inlineStr">
        <is>
          <t>Each module adds its canonical seed stage, validator and runbook entry when it is built, as Bid Submission, Bid Opening, Bid Evaluation and Award have. SEED-001's successor replaces v1.3 §5.2's "No opening/evaluation/award actual generated by this seed".</t>
        </is>
      </c>
      <c r="F33" s="27" t="inlineStr">
        <is>
          <t>None.</t>
        </is>
      </c>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row>
    <row r="34" ht="43.5" customHeight="1" s="15">
      <c r="A34" s="17" t="inlineStr">
        <is>
          <t>DEC-029</t>
        </is>
      </c>
      <c r="B34" s="27" t="inlineStr">
        <is>
          <t>Follow proposed KT-STD v1.13 for Evaluation fixture actors: committee access comes from appointment; Esther uses Evaluation Technical Support for Evaluation incidents only.</t>
        </is>
      </c>
      <c r="C34" s="17" t="inlineStr">
        <is>
          <t>Approved</t>
        </is>
      </c>
      <c r="D34" s="27" t="inlineStr">
        <is>
          <t>SEED-OPS-001 v1.18 §11 D22 follow-up; owner: “Follow v1.13”; “Own responsibility”, 1 October 2026</t>
        </is>
      </c>
      <c r="E34" s="27" t="inlineStr">
        <is>
          <t>Retain the reported seed correction and removal of obsolete fixture grants. KT-STD v1.13 was subsequently approved in full on 1 October 2026; D22 approval is closed.</t>
        </is>
      </c>
      <c r="F34" s="27" t="inlineStr">
        <is>
          <t>No new user-facing step; preserve scoped committee and technical access.</t>
        </is>
      </c>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row>
    <row r="35" ht="43.5" customHeight="1" s="15">
      <c r="A35" s="17" t="inlineStr">
        <is>
          <t>DEC-030</t>
        </is>
      </c>
      <c r="B35" s="27" t="inlineStr">
        <is>
          <t>Open Tender submission period: a verified legal minimum of 7 days blocks; the 21-day default is a planning assumption that is never a blocker. Shortening below the default requires a stated reason visible to approvers.</t>
        </is>
      </c>
      <c r="C35" s="17" t="inlineStr">
        <is>
          <t>Approved</t>
        </is>
      </c>
      <c r="D35" s="27" t="inlineStr">
        <is>
          <t>TPR-CHG-001 proposed v0.16 §21 (proposed); owner: “To build it as a 7-day verified minimum with a 21-day default”; “Shortening below the default to require a stated reason visible to approvers, but not be a blocker”, 2 October 2026. The legal basis is the Project Owner's research and is not verified against the primary text by the build.</t>
        </is>
      </c>
      <c r="E35" s="27" t="inlineStr">
        <is>
          <t>Schedule profile minimum 7 and default 21 held separately (seed and patch); Tenders blocks only below the minimum and requires a reason below the default; Review note shown to the Head of Procurement Function and Accounting Officer. Built uncommitted/committed per the Tenders tracker, TND16-004 to TND16-009.</t>
        </is>
      </c>
      <c r="F35" s="27" t="inlineStr">
        <is>
          <t>Tender details shows the hint, pre-fills the deadline from the issue date and shows a reason field when shorter; TPR-DES-03 to -07 variants. Boards not yet regenerated (TPR-CHG-001 FU-43).</t>
        </is>
      </c>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row>
    <row r="36" ht="43.5" customHeight="1" s="15">
      <c r="A36" s="17" t="inlineStr">
        <is>
          <t>DEC-031</t>
        </is>
      </c>
      <c r="B36" s="27" t="inlineStr">
        <is>
          <t>Pre-fill the submission deadline from the issue date plus the usual period, never replacing an officer's entry.</t>
        </is>
      </c>
      <c r="C36" s="17" t="inlineStr">
        <is>
          <t>Approved</t>
        </is>
      </c>
      <c r="D36" s="27" t="inlineStr">
        <is>
          <t>TPR-CHG-001 proposed v0.16 §21 (proposed); owner: “Also add the pre-filling capability that you suggested”, 2 October 2026.</t>
        </is>
      </c>
      <c r="E36" s="27" t="inlineStr">
        <is>
          <t>Tender details form suggests issue date plus the usual days at 11:00; the server decides at review. The 11:00 closing time is new content awaiting confirmation (TPR-CHG-001 FU-42).</t>
        </is>
      </c>
      <c r="F36" s="27" t="inlineStr">
        <is>
          <t>TPR-DES-03 helper and pre-fill rule.</t>
        </is>
      </c>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row>
    <row r="37" ht="43.5" customHeight="1" s="15">
      <c r="A37" s="17" t="inlineStr">
        <is>
          <t>DEC-032</t>
        </is>
      </c>
      <c r="B37" s="27" t="inlineStr">
        <is>
          <t>An Approved Tender whose deadline falls below the legal minimum puts a Reopen item on the Head of Procurement Function's My Work and a waiting item on the Accounting Officer's.</t>
        </is>
      </c>
      <c r="C37" s="17" t="inlineStr">
        <is>
          <t>Approved</t>
        </is>
      </c>
      <c r="D37" s="27" t="inlineStr">
        <is>
          <t>TPR-CHG-001 proposed v0.16 §5.11 and §21 (proposed); owner: “Build it”, 2 October 2026, answering “a My Work item for the head of procurement, cleared when the tender is reopened”.</t>
        </is>
      </c>
      <c r="E37" s="27" t="inlineStr">
        <is>
          <t>Derived when My Work is read; no stored record, no in-product alert (TPR-CHG-001 FU-41).</t>
        </is>
      </c>
      <c r="F37" s="27" t="inlineStr">
        <is>
          <t>No new screen; §5.11 hand-off row.</t>
        </is>
      </c>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row>
    <row r="38" ht="43.5" customHeight="1" s="15">
      <c r="A38" s="17" t="inlineStr">
        <is>
          <t>DEC-033</t>
        </is>
      </c>
      <c r="B38" s="27" t="inlineStr">
        <is>
          <t>The Accounting Officer can return an approved package to the Head of Procurement Function with a reason before authorising; the Head of Procurement Function reopens it.</t>
        </is>
      </c>
      <c r="C38" s="17" t="inlineStr">
        <is>
          <t>Approved</t>
        </is>
      </c>
      <c r="D38" s="27" t="inlineStr">
        <is>
          <t>TPR-CHG-001 proposed v0.16 §21 (proposed); owner reply “See the attached” carrying the recommendation “Add a Return to Head of Procurement action for the accounting officer, before publication is authorised”, 2 October 2026. Reading to confirm: the copied Draft is created at the Head of Procurement Function's Reopen, not at the return (TPR-CHG-001 FU-39). The owner's legal research is not verified against the primary texts by the build.</t>
        </is>
      </c>
      <c r="E38" s="27" t="inlineStr">
        <is>
          <t>`ReturnApprovedTender`, the AO returned approved Tender hand-off, the Return action and dialog, next steps and My Work rows. Outright refusal before publication is not built and not decided (TPR-CHG-001 FU-40).</t>
        </is>
      </c>
      <c r="F38" s="27" t="inlineStr">
        <is>
          <t>TPR-DES-07 gains a secondary Return action, a dialog and a returned variant. Boards not yet regenerated (TPR-CHG-001 FU-43).</t>
        </is>
      </c>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row>
    <row r="39" ht="43.5" customHeight="1" s="15">
      <c r="A39" s="17" t="inlineStr">
        <is>
          <t>DEC-034</t>
        </is>
      </c>
      <c r="B39" s="27" t="inlineStr">
        <is>
          <t>Digests, hashes and rule identifiers appear only under a labelled Technical details heading or section, never in a first-view area of a Tenders screen.</t>
        </is>
      </c>
      <c r="C39" s="17" t="inlineStr">
        <is>
          <t>Approved</t>
        </is>
      </c>
      <c r="D39" s="27" t="inlineStr">
        <is>
          <t>TPR-CHG-001 proposed v0.16 §21 and TPR16-AC-017; owner: “Why are digests leaking into primary user view? These type of data are expressly forbidden here and are only ever allowed under a discreet Technical Details section. This information is useless to normal users”, 2 October 2026. Resolves the conflict recorded as TPR-CHG-001 follow-up FU-36 (§10.8 item 2 asked for the digest; TPR09-AC-071 and §11.1 rule 15 forbid it).</t>
        </is>
      </c>
      <c r="E39" s="27" t="inlineStr">
        <is>
          <t>The package digest leaves the Accounting Officer's approval trail and the publication line; the History documents table drops its digest column and lists digests under a closed Technical details disclosure; the document dialog drops its reference. Tracker row TND16-015.</t>
        </is>
      </c>
      <c r="F39" s="27" t="inlineStr">
        <is>
          <t>TPR-DES-07, TPR-DES-08 and the History view lose the digest in their first view. Boards not yet regenerated (TPR-CHG-001 FU-43).</t>
        </is>
      </c>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row>
    <row r="40" ht="43.5" customHeight="1" s="15">
      <c r="A40" s="17" t="inlineStr">
        <is>
          <t>DEC-035</t>
        </is>
      </c>
      <c r="B40" s="27" t="inlineStr">
        <is>
          <t>Confidential Business Questionnaire structure: Part A gives each of the nine conflict items its official wording and its own details field in a new template release (D1); item 9 keeps its official wording, is shown only when item 7 or 8 is Yes, and No is the answer needing committee assessment (D2); Part B replaces the collapsed ownership and persons-with-interest text boxes with a bounded repeating row group as a separate version (D3); published Tenders keep release 1.2 (D5). The number of rows (D4) is not decided.</t>
        </is>
      </c>
      <c r="C40" s="17" t="inlineStr">
        <is>
          <t>Approved</t>
        </is>
      </c>
      <c r="D40" s="27" t="inlineStr">
        <is>
          <t>KenTender_STD-TPL-001_Change_Request_Questionnaire_Structure_2026-10-02.md; Project Owner, 2 October 2026: "Mark it as approved" and "I approve the recommendations"</t>
        </is>
      </c>
      <c r="E40" s="27" t="inlineStr">
        <is>
          <t>Part A needs no new vocabulary; Part B needs a new composition and renderer version. Neither can be fixed in Bid Submission. D2's legal reading is not verified against a primary source.</t>
        </is>
      </c>
      <c r="F40" s="27" t="inlineStr">
        <is>
          <t>Suppliers and evaluators read each conflict item in words; official tables appear as rows with named columns once Part B is made.</t>
        </is>
      </c>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row>
    <row r="41" ht="43.5" customHeight="1" s="15">
      <c r="A41" s="17" t="inlineStr">
        <is>
          <t>DEC-036</t>
        </is>
      </c>
      <c r="B41" s="27" t="inlineStr">
        <is>
          <t>Template walkthrough: a read-only, full-screen walkthrough shows how an STD release drives a Tender (preparation, documents, supplier bid drawn by the registered renderer, evaluation and contract), offered from STD Templates and from a Tender before and after publication, with release-validator checks for missing item wording and collapsed official tables. Recommendations R1–R5 approved.</t>
        </is>
      </c>
      <c r="C41" s="17" t="inlineStr">
        <is>
          <t>Approved</t>
        </is>
      </c>
      <c r="D41" s="27" t="inlineStr">
        <is>
          <t>KenTender_STD-TPL-001_Change_Request_Template_Walkthrough_2026-10-02.md §§8 and 13; Project Owner, 2 October 2026: "1. Both 2. Full-screen route 3. Yes" and "This is approved, together with your recommendations. Update the documents appropriately with care"; carried into STD-TPL-001 proposed v0.14</t>
        </is>
      </c>
      <c r="E41" s="27" t="inlineStr">
        <is>
          <t>Compile the release fixture at installation; reuse the shared compiler for an unpublished-Tender preview; run the registered renderer in a walkthrough mode; add validator checks 22 and 23 with the release carrying Part A (R5).</t>
        </is>
      </c>
      <c r="F41" s="27" t="inlineStr">
        <is>
          <t>New STD-DES-03 walkthrough route; Walk through supplier bid action on STD Templates and Tender review, approval, authorisation and published records; not a gate (OD5).</t>
        </is>
      </c>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row>
    <row r="42" ht="15" customHeight="1" s="15">
      <c r="A42" s="17" t="inlineStr">
        <is>
          <t>DEC-037</t>
        </is>
      </c>
      <c r="B42" s="27" t="inlineStr">
        <is>
          <t>The Tenders work-summary cards always add up to the queue below them: finished and stopped Tenders have cards (Published — open, Closed), the Head of Procurement Function has Ready to start, and a status with no card of its own counts as In progress.</t>
        </is>
      </c>
      <c r="C42" s="17" t="inlineStr">
        <is>
          <t>Approved</t>
        </is>
      </c>
      <c r="D42" s="27" t="inlineStr">
        <is>
          <t>TPR-CHG-001 proposed v0.16 §10.2 and TPR16-AC-019; owner: “The pattern of incomplete status card info still persists. See the attached. This is worse than if we did not have cards at all”, 3 October 2026. Supersedes the 2 October rule that counted only Tenders in flight.</t>
        </is>
      </c>
      <c r="E42" s="27" t="inlineStr">
        <is>
          <t>One function maps every row to one card for both the counts and the card filters. Tracker row TND16-017.</t>
        </is>
      </c>
      <c r="F42" s="27" t="inlineStr">
        <is>
          <t>TPR-DES-01 card sets per persona and a Closed variant. Boards not yet regenerated (TPR-CHG-001 FU-43).</t>
        </is>
      </c>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row>
    <row r="43" ht="15" customHeight="1" s="15">
      <c r="A43" s="17" t="inlineStr">
        <is>
          <t>DEC-038</t>
        </is>
      </c>
      <c r="B43" s="27" t="inlineStr">
        <is>
          <t>The canonical Tender receives four bids: Afya Digital Supplies Limited (wins), Jirani Office Supplies Limited (responsive, ranked second), Pwani Tech Distributors Limited (cheapest, fails technical compliance automatically) and Mlima Computer Solutions Limited (fails eligibility on the committee's evidence finding).</t>
        </is>
      </c>
      <c r="C43" s="17" t="inlineStr">
        <is>
          <t>Approved</t>
        </is>
      </c>
      <c r="D43" s="27" t="inlineStr">
        <is>
          <t>SEED-OPS-001 v1.21 §11 D23; Project Owner, 2026-10-03: "Four bids"</t>
        </is>
      </c>
      <c r="E43" s="27" t="inlineStr">
        <is>
          <t>Bid Submission, Bid Opening, Bid Evaluation and Award seeds build and validate four bids; every unsuccessful bidder receives a notice. BDS-CHG-001 §13.3, BOP-CHG-001 §10, EVL-CHG-001 §11.1, AWD-CHG-001 §13 and SEED-001's successor state the four-bid story in their next versions. New supplier names are proposed in KT-STD-001 v1.14.</t>
        </is>
      </c>
      <c r="F43" s="27" t="inlineStr">
        <is>
          <t>None.</t>
        </is>
      </c>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row>
    <row r="44" ht="150" customHeight="1" s="15">
      <c r="A44" s="35" t="inlineStr">
        <is>
          <t>DEC-039</t>
        </is>
      </c>
      <c r="B44" s="35" t="inlineStr">
        <is>
          <t>Complete MVP 1 usability change; common rules consolidated in OVS, limited owner references/conflict corrections, approved history preserved.</t>
        </is>
      </c>
      <c r="C44" s="35" t="inlineStr">
        <is>
          <t>Approved 3 October 2026</t>
        </is>
      </c>
      <c r="D44" s="35" t="inlineStr">
        <is>
          <t>Project Owner instructions 3 October 2026; OVS v0.6 §18</t>
        </is>
      </c>
      <c r="E44" s="35" t="inlineStr">
        <is>
          <t>No silent changes to authority or workflow; verify all applicable modules.</t>
        </is>
      </c>
      <c r="F44" s="35" t="inlineStr">
        <is>
          <t>Persistent decisions, evidence, navigation and outstanding work.</t>
        </is>
      </c>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row>
    <row r="45" ht="150" customHeight="1" s="15">
      <c r="A45" s="35" t="inlineStr">
        <is>
          <t>DEC-040</t>
        </is>
      </c>
      <c r="B45" s="35" t="inlineStr">
        <is>
          <t>OVS v0.6 §4.1 proposed read additions and departmental downstream visibility.</t>
        </is>
      </c>
      <c r="C45" s="35" t="inlineStr">
        <is>
          <t>Approved 3 October 2026</t>
        </is>
      </c>
      <c r="D45" s="35" t="inlineStr">
        <is>
          <t>OVS-CHG-001 v0.6 §4.1</t>
        </is>
      </c>
      <c r="E45" s="35" t="inlineStr">
        <is>
          <t>Requires matching owner read predicates and coordinated approval.</t>
        </is>
      </c>
      <c r="F45" s="35" t="inlineStr">
        <is>
          <t>Scoped progress and outcomes without committee appointment or broad bid access.</t>
        </is>
      </c>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row>
    <row r="46" ht="150" customHeight="1" s="15">
      <c r="A46" s="35" t="inlineStr">
        <is>
          <t>DEC-041</t>
        </is>
      </c>
      <c r="B46" s="35" t="inlineStr">
        <is>
          <t>The Author enters one required estimated total cost on a Need before submission; when the department's planning estimate differs from it, Planning shows the change only.</t>
        </is>
      </c>
      <c r="C46" s="35" t="inlineStr">
        <is>
          <t>Approved 9 October 2026</t>
        </is>
      </c>
      <c r="D46" s="35" t="inlineStr">
        <is>
          <t>NDS-CHG-001 v1.17 §1.2 and PLN-CHG-001 v1.30 §4.3; Project Owner, 9 October 2026: “Required (Recommended)” and “Show the change only (Recommended)”; approved with “1, Approved”</t>
        </is>
      </c>
      <c r="E46" s="35" t="inlineStr">
        <is>
          <t>Need field, DepartmentalNeedAccepted.v3 payload and cutover, Planning prefill and change display; Budget Line, funding source and currency stay out of Needs. Approval is not evidence of implementation.</t>
        </is>
      </c>
      <c r="F46" s="35" t="inlineStr">
        <is>
          <t>Estimate shown to the Head of User Department at review; U03 funding prefilled and changed variants in Planning.</t>
        </is>
      </c>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row>
    <row r="47" ht="150" customHeight="1" s="15">
      <c r="A47" s="35" t="inlineStr">
        <is>
          <t>DEC-042</t>
        </is>
      </c>
      <c r="B47" s="35" t="inlineStr">
        <is>
          <t>For MVP 1 the Procurement Planner records the Treasury submission and entity-website publication of the approved plan in one Confirm plan publication action; the system then runs the existing activation checks. The Accounting Officer and the statutory authority keep their decisions; State Portal publication stays a separate Treasury responsibility and gates nothing.</t>
        </is>
      </c>
      <c r="C47" s="35" t="inlineStr">
        <is>
          <t>Approved 9 October 2026</t>
        </is>
      </c>
      <c r="D47" s="35" t="inlineStr">
        <is>
          <t>PLN-CHG-001 v1.31 §5.5.2 and change scope row; Project Owner, 9 October 2026: “For MVP 1, the Planner should record external submission and publication on behalf of the entity. The AO and CS retain their decision responsibilities; routine evidence capture should sit with the operational role.”; approved with “1, Approved”</t>
        </is>
      </c>
      <c r="E47" s="35" t="inlineStr">
        <is>
          <t>Replaces the Accounting Officer's Record Treasury submission, the publication worker with adapter acknowledgement, technical retry and reconciliation, and the Head of Procurement Function's Publish action. Approval is not evidence of implementation.</t>
        </is>
      </c>
      <c r="F47" s="35" t="inlineStr">
        <is>
          <t>U13 variants with a Draft and Correct publication details; the seven user-facing stages are unchanged.</t>
        </is>
      </c>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row>
    <row r="48" ht="150" customHeight="1" s="15">
      <c r="A48" s="35" t="inlineStr">
        <is>
          <t>DEC-043</t>
        </is>
      </c>
      <c r="B48" s="35" t="inlineStr">
        <is>
          <t>Requisition item quantities are entered once on the item; each source line's requested quantity is derived from them (PD-2), and there is no full-remaining-balance default (PD-1). Automatic cost estimation stays deferred and proportional repricing stays prohibited.</t>
        </is>
      </c>
      <c r="C48" s="35" t="inlineStr">
        <is>
          <t>Approved 9 October 2026</t>
        </is>
      </c>
      <c r="D48" s="35" t="inlineStr">
        <is>
          <t>REQ-CHG-001 v1.15 §22.1A and v1.18; Project Owner, 9 October 2026: “Approved with all recommendations” (v1.15), “v1.16 is approved”, “v1.18 approved”</t>
        </is>
      </c>
      <c r="E48" s="35" t="inlineStr">
        <is>
          <t>Items-once command and validation, estimated total per source allocation, frozen evidence at submission. Approval is not evidence of implementation.</t>
        </is>
      </c>
      <c r="F48" s="35" t="inlineStr">
        <is>
          <t>Request summary and Items section; no product named outside the chosen category.</t>
        </is>
      </c>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row>
    <row r="49" ht="150" customHeight="1" s="15">
      <c r="A49" s="35" t="inlineStr">
        <is>
          <t>DEC-044</t>
        </is>
      </c>
      <c r="B49" s="35" t="inlineStr">
        <is>
          <t>No screen, Desk form, receipt, print view, PDF, export, message or portal shell shows a test-environment notice, a simulation or test-attestation label, or a record flag marking a record as simulated. Test stand-ins are recognised only through the site's simulation setting and their own test-control records. Production gates and the guards that stop a stand-in acting outside a test site stay.</t>
        </is>
      </c>
      <c r="C49" s="35" t="inlineStr">
        <is>
          <t>Approved 10 October 2026</t>
        </is>
      </c>
      <c r="D49" s="35" t="inlineStr">
        <is>
          <t>Proposed successors, all Project Owner review: TRUST-ADR-001 (section 2 and the new no-test-notices rule), PRC-CHG-001 (sections 1, 13), BOP-CHG-001 (deferral paragraph, sections 13, 17), AWD-CHG-001 (sections 10, 13) and BDS-CHG-001 (sections 5.10, 15.1); the proposed file names are in each document entry's approval_history. Project Owner, 10 October 2026, verbatim: “I am continuously discovering the highlighted throughout the app. I did not ask for them and if they exist in the documentation then that is wrong. The problem is the decision to put them in various places is opaque and they might eventually leak into production code. Remove these, including on forms, and summarize”; and: “"Simulation" checkbox: remove” and “Documentation: update all affected and the document control too”.</t>
        </is>
      </c>
      <c r="E49" s="35" t="inlineStr">
        <is>
          <t>Removes the receipt Test-environment note, the Award test strip and Test attestation label, the Proof label field on the professional opinion, the Simulation flag on Bid Submission Attempt, Bid Submission Version, Bid Receipt and Tender Box Envelope, and the unused portal-shell environment-notice hook. Retained as guards or audit facts: the Award Settings Simulation only setting and the stored method of a test attestation. Approval is not evidence of implementation.</t>
        </is>
      </c>
      <c r="F49" s="35" t="inlineStr">
        <is>
          <t>No test banner or label on any board or receipt; Award boards carry no environment strip.</t>
        </is>
      </c>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row>
    <row r="50" ht="150" customHeight="1" s="15">
      <c r="A50" s="35" t="inlineStr">
        <is>
          <t>DEC-045</t>
        </is>
      </c>
      <c r="B50" s="35" t="inlineStr">
        <is>
          <t>Tender-security intake is an explicit duty scoped to one Tender: the Head of Procurement Function assigns it to an existing eligible officer through the existing assignment mechanism, recording assigner, scope and effective period; the Head's office, an opening or evaluation appointment, and Administrator or System Manager status do not grant it; the Head manages the assignment without seeing intake records; the demonstration uses an existing officer with no opening or evaluation appointment.</t>
        </is>
      </c>
      <c r="C50" s="35" t="inlineStr">
        <is>
          <t>Approved 10 October 2026</t>
        </is>
      </c>
      <c r="D50" s="35" t="inlineStr">
        <is>
          <t>Approved 11 October 2026: successors of AUTH-ADR-001 (sections 4.4, 4.5, 9.2), BDS-CHG-001 (sections 5.9, 6, 7.3) and SEED-002 (section A2); Project Owner, 10 October 2026, verbatim: “Remove tender-security intake permission from the default HOPF permission bundle. Allow the HOPF to assign the intake duty explicitly to an existing eligible officer, using KenTender’s existing assignment mechanism and scoped to the relevant tender. The assignment grants only the access necessary to record security receipt and issuer confirmation. HOPF status, opening membership and evaluation membership must not independently grant that access.” “For the demonstration, assign an existing officer with no opening or evaluation appointment. Do not create a new staff persona solely for this duty.”</t>
        </is>
      </c>
      <c r="E50" s="35" t="inlineStr">
        <is>
          <t>Registry gains a Tender scope type and the Tender Security Intake Officer; the Head's default bundle loses the duty tag; assignment, revocation and guard commands; HOPF duty page; intake page limited to assigned Tenders; canonical seed uses Mercy Kilonzo. Approval is not evidence of implementation.</t>
        </is>
      </c>
      <c r="F50" s="35" t="inlineStr">
        <is>
          <t>A Tender-security intake duty page for the Head of Procurement Function (redraw owed) and an intake page showing only assigned Tenders.</t>
        </is>
      </c>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row>
    <row r="51" ht="150" customHeight="1" s="15">
      <c r="A51" s="35" t="inlineStr">
        <is>
          <t>DEC-046</t>
        </is>
      </c>
      <c r="B51" s="35" t="inlineStr">
        <is>
          <t>Tender-security intake and opening or evaluation duties exclude each other on the same Tender, in both directions, as an approved product policy and not a statutory prohibition: assigning is refused for an opening or evaluation participant, secretary or the Head's office holder; appointing is refused for a person who holds the duty or has recorded or viewed the Tender's intake; ending the duty does not erase exposure, and an unused assignment may be revoked before appointment; existing conflicts are flagged for explicit resolution by the Accounting Officer.</t>
        </is>
      </c>
      <c r="C51" s="35" t="inlineStr">
        <is>
          <t>Approved 10 October 2026</t>
        </is>
      </c>
      <c r="D51" s="35" t="inlineStr">
        <is>
          <t>Approved 11 October 2026: successors of AUTH-ADR-001 (section 5.8), BDS-CHG-001 (sections 6, 12.3) and BOP-CHG-001; EVL-CHG-001 (section 3) remains proposed; Project Owner, 10 October 2026, verbatim: “Enforce separation between security intake and opening/evaluation duties on the same tender. Record this as an approved product policy, without presenting it as a statutory prohibition.” “Ending intake access must not erase prior exposure. An officer who has already accessed supplier-identifying security information or recorded intake for that tender must remain ineligible for its opening/evaluation duties. An unused assignment may be revoked before appointment.”</t>
        </is>
      </c>
      <c r="E51" s="35" t="inlineStr">
        <is>
          <t>Grant guard, committee and secretary appointment checks, an append-only exposure record, a conflict register, a resolve command and a migration flag of existing conflicts. Approval is not evidence of implementation.</t>
        </is>
      </c>
      <c r="F51" s="35" t="inlineStr">
        <is>
          <t>Refusal wording names the incompatible duty and no supplier; candidate lists omit excluded people.</t>
        </is>
      </c>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row>
    <row r="52" ht="150" customHeight="1" s="15">
      <c r="A52" s="35" t="inlineStr">
        <is>
          <t>DEC-047</t>
        </is>
      </c>
      <c r="B52" s="35" t="inlineStr">
        <is>
          <t>Administrator and System Manager status grants no access to sealed-bid existence, counts, identities, contents, submission receipts or supplier-identifying security intake, before or after the opening, on any surface; the limited incident operator reads only the audited service status; the restrictions are application restrictions, not a claim about database or infrastructure access.</t>
        </is>
      </c>
      <c r="C52" s="35" t="inlineStr">
        <is>
          <t>Approved 10 October 2026</t>
        </is>
      </c>
      <c r="D52" s="35" t="inlineStr">
        <is>
          <t>Approved 11 October 2026: successors of AUTH-ADR-001 (section 8 exception), BDS-CHG-001 (section 12.3), BOP-CHG-001 and TRUST-ADR-001 (section 2A); Project Owner, 10 October 2026, verbatim: “Administrator and System Manager status must not grant pre-opening access to sealed-bid existence, counts, identities, contents, submission receipts or supplier-identifying security intake.” “Distinguish application restrictions from database or infrastructure privileges; do not claim that hidden screens prevent a database operator from inspecting records.”</t>
        </is>
      </c>
      <c r="E52" s="35" t="inlineStr">
        <is>
          <t>No DocPerm on the sealed families, deny hooks, a refusal on the record itself, no technical-search resolvers, no per-bid technical read, no per-file URL for bid evidence, an audited service status. Approval is not evidence of implementation.</t>
        </is>
      </c>
      <c r="F52" s="35" t="inlineStr">
        <is>
          <t>No design change.</t>
        </is>
      </c>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row>
    <row r="53" ht="150" customHeight="1" s="15">
      <c r="A53" s="35" t="inlineStr">
        <is>
          <t>DEC-048</t>
        </is>
      </c>
      <c r="B53" s="35" t="inlineStr">
        <is>
          <t>Security intake is independent of bid submission and is matched to a bid only after the opening access boundary has been crossed; the electronic security journey keeps submission, physical original, issuer verification and compliance as four facts; the demonstration issuer verification names its source “Test Issuer Service (simulation)” beside the result and response time, keeps it in the audit and export, adds no banner, and never verifies a real tender security.</t>
        </is>
      </c>
      <c r="C53" s="35" t="inlineStr">
        <is>
          <t>Approved 10 October 2026</t>
        </is>
      </c>
      <c r="D53" s="35" t="inlineStr">
        <is>
          <t>Approved 11 October 2026: successors of BDS-CHG-001 (sections 4.8, 5.9, 8, 10.9), BOP-CHG-001 (section 5) and TRUST-ADR-001 (section 2); Project Owner, 10 October 2026, verbatim: “Preserve DEC-044’s removal of general test banners and strips. Store the verification source as “Test Issuer Service (simulation)” and show it in the normal verification details alongside the result and response time.” and the brief: “Correct the tender-security intake and sealed-bid confidentiality gap across requirements, implementation and fixtures.”</t>
        </is>
      </c>
      <c r="E53" s="35" t="inlineStr">
        <is>
          <t>Intake never reads a bid; matching deferred to the opening boundary; verification record and mock issuer service; supplier statuses and actions. Approval is not evidence of implementation.</t>
        </is>
      </c>
      <c r="F53" s="35" t="inlineStr">
        <is>
          <t>Three status facts and two actions on the Company task; physical original reads Not yet matched until the boundary.</t>
        </is>
      </c>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row>
    <row r="54" ht="150" customHeight="1" s="15">
      <c r="A54" s="35" t="inlineStr">
        <is>
          <t>DEC-049</t>
        </is>
      </c>
      <c r="B54" s="35" t="inlineStr">
        <is>
          <t>A supplier is told its actual security status before the opening, never “Not yet matched”: Original received (with the receipt reference and time), Original receipt not yet recorded, Issuer verification pending, with the explanation “Security will be checked against your bid after opening.”; deferred matching must not make a complete bid appear incomplete. The status is computed when the supplier reads its own bid and stored nowhere; the stored intake-to-bid match still waits for the opening boundary.</t>
        </is>
      </c>
      <c r="C54" s="35" t="inlineStr">
        <is>
          <t>Approved 10 October 2026</t>
        </is>
      </c>
      <c r="D54" s="35" t="inlineStr">
        <is>
          <t>Approved 11 October 2026: successors of BDS-CHG-001 (sections 4.8, 8, 10.9, 14) and BOP-CHG-001 (section 5); Project Owner, 10 October 2026, quoted in part in the control table of each.</t>
        </is>
      </c>
      <c r="E54" s="35" t="inlineStr">
        <is>
          <t>Read-time own-instrument lookup (exactly one active bid and one intake), new status strings, Review rows, no stored match before the boundary. Approval is not evidence of implementation.</t>
        </is>
      </c>
      <c r="F54" s="35" t="inlineStr">
        <is>
          <t>Company task, Review and Submit status facts; board redraw owed.</t>
        </is>
      </c>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row>
    <row r="55" ht="150" customHeight="1" s="15">
      <c r="A55" s="35" t="inlineStr">
        <is>
          <t>DEC-050</t>
        </is>
      </c>
      <c r="B55" s="35" t="inlineStr">
        <is>
          <t>“Security required” does not by itself mean “physical original required”: the Tender states the permitted submission method (Electronic, Physical, Electronic or physical) and the original-delivery requirement (Required, Not required) in its own schema; they travel into the published release and drive the supplier form, advisory and intake lookup; a Tender published without them is listed for explicit review and has no original invented for it, and no published requirement is changed.</t>
        </is>
      </c>
      <c r="C55" s="35" t="inlineStr">
        <is>
          <t>Approved 10 October 2026</t>
        </is>
      </c>
      <c r="D55" s="35" t="inlineStr">
        <is>
          <t>Approved 11 October 2026: successors of TPR-CHG-001 (sections 5.2, 23), STD-TPL-001 (section 18.8) and BDS-CHG-001 (section 4.8); Project Owner, 10 October 2026.</t>
        </is>
      </c>
      <c r="E55" s="35" t="inlineStr">
        <is>
          <t>Two required Tender controls with no default, review rules, projection and selector facts (frozen releases unchanged), BDS reads, an explicit-review read. A successor template release for conditional response fields is owed.</t>
        </is>
      </c>
      <c r="F55" s="35" t="inlineStr">
        <is>
          <t>Tender details task gains two selects; supplier form shows what the Tender states.</t>
        </is>
      </c>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row>
    <row r="56" ht="150" customHeight="1" s="15">
      <c r="A56" s="35" t="inlineStr">
        <is>
          <t>DEC-051</t>
        </is>
      </c>
      <c r="B56" s="35" t="inlineStr">
        <is>
          <t>Opening incident records and the opening records that carry an envelope identifier or a bidder's name are sealed: no list, count, report, export, link search, form load or direct read for any technical account, and System Manager status alone grants no access; operational identifiers appear only inside the opening's own workflow; incident search is removed; notices link to the opening page.</t>
        </is>
      </c>
      <c r="C56" s="35" t="inlineStr">
        <is>
          <t>Approved 10 October 2026</t>
        </is>
      </c>
      <c r="D56" s="35" t="inlineStr">
        <is>
          <t>Approved 11 October 2026: successors of BOP-CHG-001 (section 6, BOP-N22), AUTH-ADR-001 (section 8, AUTH-AC-057) and TRUST-ADR-001 (section 2B); Project Owner, 10 October 2026.</t>
        </is>
      </c>
      <c r="E56" s="35" t="inlineStr">
        <is>
          <t>Five Bid Opening doctypes sealed (permissions removed, controller refusal, deny hooks), technical search resolver removed, opening page hides incidents from a technical reader without the support assignment. An audit event for support reads of incident details is not built.</t>
        </is>
      </c>
      <c r="F56" s="35" t="inlineStr">
        <is>
          <t>Technical status reads Held by Opening access support.</t>
        </is>
      </c>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row>
    <row r="57" ht="150" customHeight="1" s="15">
      <c r="A57" s="35" t="inlineStr">
        <is>
          <t>DEC-052</t>
        </is>
      </c>
      <c r="B57" s="35" t="inlineStr">
        <is>
          <t>No unrestricted break-glass access to sealed bids exists in the MVP; failures fail closed and support investigates through restricted diagnostics without bid content; operational recovery is kept separate from access to sealed contents; the absence of break-glass does not justify an administrator bypass.</t>
        </is>
      </c>
      <c r="C57" s="35" t="inlineStr">
        <is>
          <t>Approved 10 October 2026</t>
        </is>
      </c>
      <c r="D57" s="35" t="inlineStr">
        <is>
          <t>Approved 11 October 2026: successors of TRUST-ADR-001 (section 2B) and BDS-CHG-001 (section 12.3); Project Owner, 10 October 2026.</t>
        </is>
      </c>
      <c r="E57" s="35" t="inlineStr">
        <is>
          <t>No code path added; existing failures already fail closed.</t>
        </is>
      </c>
      <c r="F57" s="35" t="inlineStr">
        <is>
          <t>None.</t>
        </is>
      </c>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row>
    <row r="58" ht="150" customHeight="1" s="15">
      <c r="A58" s="35" t="inlineStr">
        <is>
          <t>DEC-053</t>
        </is>
      </c>
      <c r="B58" s="35" t="inlineStr">
        <is>
          <t>Amendment of a published Tender’s tender-security statements uses the existing addendum process: no separate kind of addendum and no republication. Missing system data for a requirement the published Tender already makes explicit is populated by an auditable correction that preserves the published requirement; a requirement that genuinely changes is a formal addendum before closing, communicated to bidders under the deadline-extension rules; closed Tenders keep their issued requirements.</t>
        </is>
      </c>
      <c r="C58" s="35" t="inlineStr">
        <is>
          <t>Approved 10 October 2026</t>
        </is>
      </c>
      <c r="D58" s="35" t="inlineStr">
        <is>
          <t>Approved 11 October 2026: successors of TPR-CHG-001 (section 24) and BDS-CHG-001 (section 4.8); Project Owner, 10 October 2026, quoted in part in each control table.</t>
        </is>
      </c>
      <c r="E58" s="35" t="inlineStr">
        <is>
          <t>Two non-material addendum rows with option lists, CorrectSecurityStatement with an append-only Tender Security Statement, bid-definition projection and BDS reads that honour the correction. A screen for the correction is not built.</t>
        </is>
      </c>
      <c r="F58" s="35" t="inlineStr">
        <is>
          <t>Addendum editor offers a choice list for the two rows.</t>
        </is>
      </c>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row>
    <row r="59" ht="150" customHeight="1" s="15">
      <c r="A59" s="35" t="inlineStr">
        <is>
          <t>DEC-054</t>
        </is>
      </c>
      <c r="B59" s="35" t="inlineStr">
        <is>
          <t>Template release 1.5 makes the bidder’s tender-security evidence follow the Tender’s submission method (upload: attachment required; issuer-supplied: no bidder upload; paper: prescribed electronic copy plus delivery instructions; none: no security inputs, supported but not offered); a new release reaches new Tenders and unpublished Drafts only through an explicit update and published Tenders keep their release; a pending issuer response is never a submission blocker.</t>
        </is>
      </c>
      <c r="C59" s="35" t="inlineStr">
        <is>
          <t>Approved 10 October 2026</t>
        </is>
      </c>
      <c r="D59" s="35" t="inlineStr">
        <is>
          <t>Approved 11 October 2026: successors of STD-TPL-001 (section 18.9), TPR-CHG-001 (section 24.2) and BDS-CHG-001 (section 4.8); Project Owner, 10 October 2026.</t>
        </is>
      </c>
      <c r="E59" s="35" t="inlineStr">
        <is>
          <t>Release 1.5 built and installed on the test site; UpdateDraftTemplateRelease; BDS reads either security rule. The fourth method awaits an Owner-approved document variant.</t>
        </is>
      </c>
      <c r="F59" s="35" t="inlineStr">
        <is>
          <t>Draft release notice offers Update to the current release.</t>
        </is>
      </c>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row>
    <row r="60" ht="150" customHeight="1" s="15">
      <c r="A60" s="35" t="inlineStr">
        <is>
          <t>DEC-055</t>
        </is>
      </c>
      <c r="B60" s="35" t="inlineStr">
        <is>
          <t>Reading an Opening incident’s details, and exporting it, are audited with actor, time, incident, action, purpose and outcome; the event holds no incident content, the trail is restricted to the Auditor and the Accounting Officer, and a page refresh records nothing.</t>
        </is>
      </c>
      <c r="C60" s="35" t="inlineStr">
        <is>
          <t>Approved 10 October 2026</t>
        </is>
      </c>
      <c r="D60" s="35" t="inlineStr">
        <is>
          <t>Approved 11 October 2026: successors of BOP-CHG-001 (section 6, BOP-N23 to BOP-N26), AUTH-ADR-001 (section 8, AUTH-AC-058) and TRUST-ADR-001 (section 2B); Project Owner, 10 October 2026.</t>
        </is>
      </c>
      <c r="E60" s="35" t="inlineStr">
        <is>
          <t>GetIncidentDetails, the Export event, GetIncidentAccessTrail and a sealed Opening Incident Access Event record.</t>
        </is>
      </c>
      <c r="F60" s="35" t="inlineStr">
        <is>
          <t>Incident details panel names a purpose before showing details.</t>
        </is>
      </c>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row>
    <row r="61" ht="150" customHeight="1" s="15">
      <c r="A61" s="35" t="inlineStr">
        <is>
          <t>DEC-056</t>
        </is>
      </c>
      <c r="B61" s="35" t="inlineStr">
        <is>
          <t>PR-001’s incident-recovery procedure is drafted as TRUST-OPS-001 and is tested before production; any exceptional access to sealed contents remains a separately reviewed design; the Documentation Control workbook is brought into line with this register.</t>
        </is>
      </c>
      <c r="C61" s="35" t="inlineStr">
        <is>
          <t>Approved 10 October 2026</t>
        </is>
      </c>
      <c r="D61" s="35" t="inlineStr">
        <is>
          <t>Approved 11 October 2026: TRUST-OPS-001 (first version) and successor of TRUST-ADR-001 (section 2B); Project Owner, 10 October 2026.</t>
        </is>
      </c>
      <c r="E61" s="35" t="inlineStr">
        <is>
          <t>No code. The procedure is operational only after approval and the section 11 tests.</t>
        </is>
      </c>
      <c r="F61" s="35" t="inlineStr">
        <is>
          <t>None.</t>
        </is>
      </c>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row>
    <row r="62" ht="15" customHeight="1" s="15">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row>
    <row r="63" ht="15" customHeight="1" s="15">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row>
    <row r="64" ht="15" customHeight="1" s="15">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row>
    <row r="65" ht="15" customHeight="1" s="15">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row>
    <row r="66" ht="15" customHeight="1" s="15">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row>
    <row r="67" ht="15" customHeight="1" s="15">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row>
    <row r="68" ht="15" customHeight="1" s="15">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row>
    <row r="69" ht="15" customHeight="1" s="15">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row>
    <row r="70" ht="15" customHeight="1" s="15">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row>
    <row r="71" ht="15" customHeight="1" s="15">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row>
    <row r="72" ht="15" customHeight="1" s="15">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row>
    <row r="73" ht="15" customHeight="1" s="15">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row>
    <row r="74" ht="15" customHeight="1" s="15">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row>
    <row r="75" ht="15" customHeight="1" s="15">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row>
    <row r="76" ht="15" customHeight="1" s="15">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row>
    <row r="77" ht="15" customHeight="1" s="15">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row>
    <row r="78" ht="15" customHeight="1" s="15">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row>
    <row r="79" ht="15" customHeight="1" s="15">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row>
    <row r="80" ht="15" customHeight="1" s="15">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row>
    <row r="81" ht="15" customHeight="1" s="15">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row>
    <row r="82" ht="15" customHeight="1" s="15">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row>
    <row r="83" ht="15" customHeight="1" s="15">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row>
    <row r="84" ht="15" customHeight="1" s="15">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row>
    <row r="85" ht="15" customHeight="1" s="15">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row>
    <row r="86" ht="15" customHeight="1" s="15">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row>
    <row r="87" ht="15" customHeight="1" s="15">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row>
    <row r="88" ht="15" customHeight="1" s="15">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row>
    <row r="89" ht="15" customHeight="1" s="15">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row>
    <row r="90" ht="15" customHeight="1" s="15">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row>
    <row r="91" ht="15" customHeight="1" s="15">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row>
    <row r="92" ht="15" customHeight="1" s="15">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row>
    <row r="93" ht="15" customHeight="1" s="15">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row>
    <row r="94" ht="15" customHeight="1" s="15">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row>
    <row r="95" ht="15" customHeight="1" s="15">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row>
    <row r="96" ht="15" customHeight="1" s="15">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row>
    <row r="97" ht="15" customHeight="1" s="15">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row>
    <row r="98" ht="15" customHeight="1" s="15">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row>
    <row r="99" ht="15" customHeight="1" s="15">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row>
    <row r="100" ht="15" customHeight="1" s="15">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row>
    <row r="101" ht="15" customHeight="1" s="15">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row>
    <row r="102" ht="15" customHeight="1" s="15">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row>
    <row r="103" ht="15" customHeight="1" s="15">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row>
    <row r="104" ht="15" customHeight="1" s="15">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row>
    <row r="105" ht="15" customHeight="1" s="15">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row>
    <row r="106" ht="15" customHeight="1" s="15">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row>
    <row r="107" ht="15" customHeight="1" s="15">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row>
    <row r="108" ht="15" customHeight="1" s="15">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row>
    <row r="109" ht="15" customHeight="1" s="15">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row>
    <row r="110" ht="15" customHeight="1" s="15">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row>
    <row r="111" ht="15" customHeight="1" s="15">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row>
    <row r="112" ht="15" customHeight="1" s="15">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row>
    <row r="113" ht="15" customHeight="1" s="15">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row>
    <row r="114" ht="15" customHeight="1" s="15">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row>
    <row r="115" ht="15" customHeight="1" s="15">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row>
    <row r="116" ht="15" customHeight="1" s="15">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row>
    <row r="117" ht="15" customHeight="1" s="15">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row>
    <row r="118" ht="15" customHeight="1" s="15">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row>
    <row r="119" ht="15" customHeight="1" s="15">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row>
    <row r="120" ht="15" customHeight="1" s="15">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row>
    <row r="121" ht="15" customHeight="1" s="15">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row>
    <row r="122" ht="15" customHeight="1" s="15">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row>
    <row r="123" ht="15" customHeight="1" s="15">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row>
    <row r="124" ht="15" customHeight="1" s="15">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row>
    <row r="125" ht="15" customHeight="1" s="15">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row>
    <row r="126" ht="15" customHeight="1" s="15">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row>
    <row r="127" ht="15" customHeight="1" s="15">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row>
    <row r="128" ht="15" customHeight="1" s="15">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row>
    <row r="129" ht="15" customHeight="1" s="15">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row>
    <row r="130" ht="15" customHeight="1" s="15">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row>
    <row r="131" ht="15" customHeight="1" s="15">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row>
    <row r="132" ht="15" customHeight="1" s="15">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row>
    <row r="133" ht="15" customHeight="1" s="15">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row>
    <row r="134" ht="15" customHeight="1" s="15">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row>
    <row r="135" ht="15" customHeight="1" s="15">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row>
    <row r="136" ht="15" customHeight="1" s="15">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row>
    <row r="137" ht="15" customHeight="1" s="15">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row>
    <row r="138" ht="15" customHeight="1" s="15">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row>
    <row r="139" ht="15" customHeight="1" s="15">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row>
    <row r="140" ht="15" customHeight="1" s="15">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row>
    <row r="141" ht="15" customHeight="1" s="15">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row>
    <row r="142" ht="15" customHeight="1" s="15">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row>
    <row r="143" ht="15" customHeight="1" s="15">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row>
    <row r="144" ht="15" customHeight="1" s="15">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row>
    <row r="145" ht="15" customHeight="1" s="15">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row>
    <row r="146" ht="15" customHeight="1" s="15">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row>
    <row r="147" ht="15" customHeight="1" s="15">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row>
    <row r="148" ht="15" customHeight="1" s="15">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row>
    <row r="149" ht="15" customHeight="1" s="15">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row>
    <row r="150" ht="15" customHeight="1" s="15">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row>
    <row r="151" ht="15" customHeight="1" s="15">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row>
    <row r="152" ht="15" customHeight="1" s="15">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row>
    <row r="153" ht="15" customHeight="1" s="15">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row>
    <row r="154" ht="15" customHeight="1" s="15">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row>
    <row r="155" ht="15" customHeight="1" s="15">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row>
    <row r="156" ht="15" customHeight="1" s="15">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row>
    <row r="157" ht="15" customHeight="1" s="15">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row>
    <row r="158" ht="15" customHeight="1" s="15">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row>
    <row r="159" ht="15" customHeight="1" s="15">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row>
    <row r="160" ht="15" customHeight="1" s="15">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row>
    <row r="161" ht="15" customHeight="1" s="15">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row>
    <row r="162" ht="15" customHeight="1" s="15">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row>
    <row r="163" ht="15" customHeight="1" s="15">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row>
    <row r="164" ht="15" customHeight="1" s="15">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row>
    <row r="165" ht="15" customHeight="1" s="15">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row>
    <row r="166" ht="15" customHeight="1" s="15">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row>
    <row r="167" ht="15" customHeight="1" s="15">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row>
    <row r="168" ht="15" customHeight="1" s="15">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row>
    <row r="169" ht="15" customHeight="1" s="15">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row>
    <row r="170" ht="15" customHeight="1" s="15">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row>
    <row r="171" ht="15" customHeight="1" s="15">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row>
    <row r="172" ht="15" customHeight="1" s="15">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row>
    <row r="173" ht="15" customHeight="1" s="15">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row>
    <row r="174" ht="15" customHeight="1" s="15">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row>
    <row r="175" ht="15" customHeight="1" s="15">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row>
    <row r="176" ht="15" customHeight="1" s="15">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row>
    <row r="177" ht="15" customHeight="1" s="15">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row>
    <row r="178" ht="15" customHeight="1" s="15">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row>
    <row r="179" ht="15" customHeight="1" s="15">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row>
    <row r="180" ht="15" customHeight="1" s="15">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row>
    <row r="181" ht="15" customHeight="1" s="15">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row>
    <row r="182" ht="15" customHeight="1" s="15">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row>
    <row r="183" ht="15" customHeight="1" s="15">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row>
    <row r="184" ht="15" customHeight="1" s="15">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row>
    <row r="185" ht="15" customHeight="1" s="15">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row>
    <row r="186" ht="15" customHeight="1" s="15">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row>
    <row r="187" ht="15" customHeight="1" s="15">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row>
    <row r="188" ht="15" customHeight="1" s="15">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row>
    <row r="189" ht="15" customHeight="1" s="15">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row>
    <row r="190" ht="15" customHeight="1" s="15">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row>
    <row r="191" ht="15" customHeight="1" s="15">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row>
    <row r="192" ht="15" customHeight="1" s="15">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row>
    <row r="193" ht="15" customHeight="1" s="15">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row>
    <row r="194" ht="15" customHeight="1" s="15">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row>
    <row r="195" ht="15" customHeight="1" s="15">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row>
    <row r="196" ht="15" customHeight="1" s="15">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row>
    <row r="197" ht="15" customHeight="1" s="15">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row>
    <row r="198" ht="15" customHeight="1" s="15">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row>
    <row r="199" ht="15" customHeight="1" s="15">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row>
    <row r="200" ht="15" customHeight="1" s="15">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row>
  </sheetData>
  <mergeCells count="2">
    <mergeCell ref="A2:F2"/>
    <mergeCell ref="A1:F1"/>
  </mergeCells>
  <conditionalFormatting sqref="C6:C41">
    <cfRule type="containsText" rank="0" priority="2" equalAverage="0" operator="containsText" aboveAverage="0" dxfId="13" text="Approved" percent="0" bottom="0">
      <formula>NOT(ISERROR(SEARCH("Approved",C6)))</formula>
    </cfRule>
    <cfRule type="containsText" rank="0" priority="3" equalAverage="0" operator="containsText" aboveAverage="0" dxfId="13" text="Passed" percent="0" bottom="0">
      <formula>NOT(ISERROR(SEARCH("Passed",C6)))</formula>
    </cfRule>
    <cfRule type="containsText" rank="0" priority="4" equalAverage="0" operator="containsText" aboveAverage="0" dxfId="13" text="Released" percent="0" bottom="0">
      <formula>NOT(ISERROR(SEARCH("Released",C6)))</formula>
    </cfRule>
    <cfRule type="containsText" rank="0" priority="5" equalAverage="0" operator="containsText" aboveAverage="0" dxfId="1" text="Project Owner review" percent="0" bottom="0">
      <formula>NOT(ISERROR(SEARCH("Project Owner review",C6)))</formula>
    </cfRule>
    <cfRule type="containsText" rank="0" priority="6" equalAverage="0" operator="containsText" aboveAverage="0" dxfId="14" text="Pending" percent="0" bottom="0">
      <formula>NOT(ISERROR(SEARCH("Pending",C6)))</formula>
    </cfRule>
    <cfRule type="containsText" rank="0" priority="7" equalAverage="0" operator="containsText" aboveAverage="0" dxfId="0" text="Blocked" percent="0" bottom="0">
      <formula>NOT(ISERROR(SEARCH("Blocked",C6)))</formula>
    </cfRule>
    <cfRule type="containsText" rank="0" priority="8" equalAverage="0" operator="containsText" aboveAverage="0" dxfId="0" text="unresolved" percent="0" bottom="0">
      <formula>NOT(ISERROR(SEARCH("unresolved",C6)))</formula>
    </cfRule>
    <cfRule type="containsText" rank="0" priority="9" equalAverage="0" operator="containsText" aboveAverage="0" dxfId="15" text="Not started" percent="0" bottom="0">
      <formula>NOT(ISERROR(SEARCH("Not started",C6)))</formula>
    </cfRule>
    <cfRule type="containsText" rank="0" priority="10" equalAverage="0" operator="containsText" aboveAverage="0" dxfId="15" text="Not evidenced" percent="0" bottom="0">
      <formula>NOT(ISERROR(SEARCH("Not evidenced",C6)))</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4472C4"/>
    <outlinePr summaryBelow="1" summaryRight="1"/>
    <pageSetUpPr/>
  </sheetPr>
  <dimension ref="A1:Z200"/>
  <sheetViews>
    <sheetView showGridLines="0" workbookViewId="0">
      <pane xSplit="1" ySplit="5" topLeftCell="B6" activePane="bottomRight" state="frozen"/>
      <selection activeCell="A1" sqref="A1"/>
    </sheetView>
  </sheetViews>
  <sheetFormatPr baseColWidth="8" defaultColWidth="8.6796875" defaultRowHeight="15"/>
  <cols>
    <col width="13" customWidth="1" style="14" min="1" max="1"/>
    <col width="22" customWidth="1" style="14" min="2" max="2"/>
    <col width="42" customWidth="1" style="14" min="3" max="3"/>
    <col width="46" customWidth="1" style="14" min="4" max="4"/>
    <col width="44" customWidth="1" style="14" min="5" max="5"/>
    <col width="38" customWidth="1" style="14" min="6" max="6"/>
    <col width="22" customWidth="1" style="14" min="7" max="7"/>
    <col width="13" customWidth="1" style="14" min="8" max="8"/>
    <col width="18" customWidth="1" style="14" min="9" max="9"/>
    <col width="16" customWidth="1" style="14" min="10" max="10"/>
    <col width="38" customWidth="1" style="14" min="11" max="11"/>
  </cols>
  <sheetData>
    <row r="1" ht="37.5" customHeight="1" s="15">
      <c r="A1" s="16" t="inlineStr">
        <is>
          <t>Implementation and design delivery</t>
        </is>
      </c>
      <c r="L1" s="17" t="n"/>
      <c r="M1" s="17" t="n"/>
      <c r="N1" s="17" t="n"/>
      <c r="O1" s="17" t="n"/>
      <c r="P1" s="17" t="n"/>
      <c r="Q1" s="17" t="n"/>
      <c r="R1" s="17" t="n"/>
      <c r="S1" s="17" t="n"/>
      <c r="T1" s="17" t="n"/>
      <c r="U1" s="17" t="n"/>
      <c r="V1" s="17" t="n"/>
      <c r="W1" s="17" t="n"/>
      <c r="X1" s="17" t="n"/>
      <c r="Y1" s="17" t="n"/>
      <c r="Z1" s="17" t="n"/>
    </row>
    <row r="2" ht="33.75" customHeight="1" s="15">
      <c r="A2" s="18" t="inlineStr">
        <is>
          <t>Approved version set: 2026-10-11. Proposals up to 2026-10-11 are listed beside it. Design work remains open; CM and template walkthrough deferred.</t>
        </is>
      </c>
      <c r="L2" s="17" t="n"/>
      <c r="M2" s="17" t="n"/>
      <c r="N2" s="17" t="n"/>
      <c r="O2" s="17" t="n"/>
      <c r="P2" s="17" t="n"/>
      <c r="Q2" s="17" t="n"/>
      <c r="R2" s="17" t="n"/>
      <c r="S2" s="17" t="n"/>
      <c r="T2" s="17" t="n"/>
      <c r="U2" s="17" t="n"/>
      <c r="V2" s="17" t="n"/>
      <c r="W2" s="17" t="n"/>
      <c r="X2" s="17" t="n"/>
      <c r="Y2" s="17" t="n"/>
      <c r="Z2" s="17" t="n"/>
    </row>
    <row r="3" ht="15" customHeight="1" s="15">
      <c r="A3" s="17" t="n"/>
      <c r="B3" s="17" t="n"/>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row>
    <row r="4" ht="15" customHeight="1" s="15">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row>
    <row r="5" ht="36" customHeight="1" s="15">
      <c r="A5" s="32" t="inlineStr">
        <is>
          <t>Item ID</t>
        </is>
      </c>
      <c r="B5" s="32" t="inlineStr">
        <is>
          <t>Area</t>
        </is>
      </c>
      <c r="C5" s="32" t="inlineStr">
        <is>
          <t>Required change</t>
        </is>
      </c>
      <c r="D5" s="32" t="inlineStr">
        <is>
          <t>Functional outcome</t>
        </is>
      </c>
      <c r="E5" s="32" t="inlineStr">
        <is>
          <t>Design outcome</t>
        </is>
      </c>
      <c r="F5" s="32" t="inlineStr">
        <is>
          <t>Owning document</t>
        </is>
      </c>
      <c r="G5" s="32" t="inlineStr">
        <is>
          <t>Requirement status</t>
        </is>
      </c>
      <c r="H5" s="32" t="inlineStr">
        <is>
          <t>Release gate</t>
        </is>
      </c>
      <c r="I5" s="32" t="inlineStr">
        <is>
          <t>Implementation</t>
        </is>
      </c>
      <c r="J5" s="32" t="inlineStr">
        <is>
          <t>Verification</t>
        </is>
      </c>
      <c r="K5" s="32" t="inlineStr">
        <is>
          <t>Evidence / notes</t>
        </is>
      </c>
      <c r="L5" s="17" t="n"/>
      <c r="M5" s="17" t="n"/>
      <c r="N5" s="17" t="n"/>
      <c r="O5" s="17" t="n"/>
      <c r="P5" s="17" t="n"/>
      <c r="Q5" s="17" t="n"/>
      <c r="R5" s="17" t="n"/>
      <c r="S5" s="17" t="n"/>
      <c r="T5" s="17" t="n"/>
      <c r="U5" s="17" t="n"/>
      <c r="V5" s="17" t="n"/>
      <c r="W5" s="17" t="n"/>
      <c r="X5" s="17" t="n"/>
      <c r="Y5" s="17" t="n"/>
      <c r="Z5" s="17" t="n"/>
    </row>
    <row r="6" ht="43.5" customHeight="1" s="15">
      <c r="A6" s="17" t="inlineStr">
        <is>
          <t>G1-001</t>
        </is>
      </c>
      <c r="B6" s="27" t="inlineStr">
        <is>
          <t>System Setup</t>
        </is>
      </c>
      <c r="C6" s="27" t="inlineStr">
        <is>
          <t>Add supplier-portal operating settings and clear action effects.</t>
        </is>
      </c>
      <c r="D6" s="27" t="inlineStr">
        <is>
          <t>Configure availability, support contact and public-facing controls.</t>
        </is>
      </c>
      <c r="E6" s="27" t="inlineStr">
        <is>
          <t>Task-oriented settings with effective-state explanation.</t>
        </is>
      </c>
      <c r="F6" s="27" t="inlineStr">
        <is>
          <t>CFG-CHG-002 v0.16</t>
        </is>
      </c>
      <c r="G6" s="27" t="inlineStr">
        <is>
          <t>Approved requirement</t>
        </is>
      </c>
      <c r="H6" s="27" t="inlineStr">
        <is>
          <t>Yes</t>
        </is>
      </c>
      <c r="I6" s="27" t="inlineStr">
        <is>
          <t>Not started</t>
        </is>
      </c>
      <c r="J6" s="27" t="inlineStr">
        <is>
          <t>Not started</t>
        </is>
      </c>
      <c r="K6" s="27" t="n"/>
      <c r="L6" s="17" t="n"/>
      <c r="M6" s="17" t="n"/>
      <c r="N6" s="17" t="n"/>
      <c r="O6" s="17" t="n"/>
      <c r="P6" s="17" t="n"/>
      <c r="Q6" s="17" t="n"/>
      <c r="R6" s="17" t="n"/>
      <c r="S6" s="17" t="n"/>
      <c r="T6" s="17" t="n"/>
      <c r="U6" s="17" t="n"/>
      <c r="V6" s="17" t="n"/>
      <c r="W6" s="17" t="n"/>
      <c r="X6" s="17" t="n"/>
      <c r="Y6" s="17" t="n"/>
      <c r="Z6" s="17" t="n"/>
    </row>
    <row r="7" ht="43.5" customHeight="1" s="15">
      <c r="A7" s="17" t="inlineStr">
        <is>
          <t>G1-002</t>
        </is>
      </c>
      <c r="B7" s="27" t="inlineStr">
        <is>
          <t>STD Templates</t>
        </is>
      </c>
      <c r="C7" s="27" t="inlineStr">
        <is>
          <t>Create dedicated STD Templates administration surface.</t>
        </is>
      </c>
      <c r="D7" s="27" t="inlineStr">
        <is>
          <t>Inspect installed formats, release identity, support and verification.</t>
        </is>
      </c>
      <c r="E7" s="27" t="inlineStr">
        <is>
          <t>List and detail views; no generic schema editor.</t>
        </is>
      </c>
      <c r="F7" s="27" t="inlineStr">
        <is>
          <t>CFG-CHG-002 v0.16 / STD-TPL-001 v0.13</t>
        </is>
      </c>
      <c r="G7" s="27" t="inlineStr">
        <is>
          <t>Mixed approved/proposed</t>
        </is>
      </c>
      <c r="H7" s="27" t="inlineStr">
        <is>
          <t>Yes</t>
        </is>
      </c>
      <c r="I7" s="27" t="inlineStr">
        <is>
          <t>Not started</t>
        </is>
      </c>
      <c r="J7" s="27" t="inlineStr">
        <is>
          <t>Not started</t>
        </is>
      </c>
      <c r="K7" s="27" t="n"/>
      <c r="L7" s="17" t="n"/>
      <c r="M7" s="17" t="n"/>
      <c r="N7" s="17" t="n"/>
      <c r="O7" s="17" t="n"/>
      <c r="P7" s="17" t="n"/>
      <c r="Q7" s="17" t="n"/>
      <c r="R7" s="17" t="n"/>
      <c r="S7" s="17" t="n"/>
      <c r="T7" s="17" t="n"/>
      <c r="U7" s="17" t="n"/>
      <c r="V7" s="17" t="n"/>
      <c r="W7" s="17" t="n"/>
      <c r="X7" s="17" t="n"/>
      <c r="Y7" s="17" t="n"/>
      <c r="Z7" s="17" t="n"/>
    </row>
    <row r="8" ht="43.5" customHeight="1" s="15">
      <c r="A8" s="17" t="inlineStr">
        <is>
          <t>G1-003</t>
        </is>
      </c>
      <c r="B8" s="27" t="inlineStr">
        <is>
          <t>STD Templates</t>
        </is>
      </c>
      <c r="C8" s="27" t="inlineStr">
        <is>
          <t>Rebuild IT Equipment release with structured supplier-response schema.</t>
        </is>
      </c>
      <c r="D8" s="27" t="inlineStr">
        <is>
          <t>Add stable row IDs, response types, evidence and declaration rules.</t>
        </is>
      </c>
      <c r="E8" s="27" t="inlineStr">
        <is>
          <t>Generated task sections for the supplier workspace.</t>
        </is>
      </c>
      <c r="F8" s="27" t="inlineStr">
        <is>
          <t>STD-TPL-001 v0.13</t>
        </is>
      </c>
      <c r="G8" s="27" t="inlineStr">
        <is>
          <t>Approved requirement</t>
        </is>
      </c>
      <c r="H8" s="27" t="inlineStr">
        <is>
          <t>Yes</t>
        </is>
      </c>
      <c r="I8" s="27" t="inlineStr">
        <is>
          <t>Not started</t>
        </is>
      </c>
      <c r="J8" s="27" t="inlineStr">
        <is>
          <t>Not started</t>
        </is>
      </c>
      <c r="K8" s="27" t="n"/>
      <c r="L8" s="17" t="n"/>
      <c r="M8" s="17" t="n"/>
      <c r="N8" s="17" t="n"/>
      <c r="O8" s="17" t="n"/>
      <c r="P8" s="17" t="n"/>
      <c r="Q8" s="17" t="n"/>
      <c r="R8" s="17" t="n"/>
      <c r="S8" s="17" t="n"/>
      <c r="T8" s="17" t="n"/>
      <c r="U8" s="17" t="n"/>
      <c r="V8" s="17" t="n"/>
      <c r="W8" s="17" t="n"/>
      <c r="X8" s="17" t="n"/>
      <c r="Y8" s="17" t="n"/>
      <c r="Z8" s="17" t="n"/>
    </row>
    <row r="9" ht="43.5" customHeight="1" s="15">
      <c r="A9" s="17" t="inlineStr">
        <is>
          <t>G1-004</t>
        </is>
      </c>
      <c r="B9" s="27" t="inlineStr">
        <is>
          <t>STD Templates</t>
        </is>
      </c>
      <c r="C9" s="27" t="inlineStr">
        <is>
          <t>Add evaluation and contract-destination mappings.</t>
        </is>
      </c>
      <c r="D9" s="27" t="inlineStr">
        <is>
          <t>Every carried response has explicit downstream treatment; group-level evaluation allowed where defined.</t>
        </is>
      </c>
      <c r="E9" s="27" t="inlineStr">
        <is>
          <t>Admin sees labelled mapping summaries, not raw JSON.</t>
        </is>
      </c>
      <c r="F9" s="27" t="inlineStr">
        <is>
          <t>STD-TPL-001 v0.13</t>
        </is>
      </c>
      <c r="G9" s="27" t="inlineStr">
        <is>
          <t>Approved requirement</t>
        </is>
      </c>
      <c r="H9" s="27" t="inlineStr">
        <is>
          <t>Yes</t>
        </is>
      </c>
      <c r="I9" s="27" t="inlineStr">
        <is>
          <t>Not started</t>
        </is>
      </c>
      <c r="J9" s="27" t="inlineStr">
        <is>
          <t>Not started</t>
        </is>
      </c>
      <c r="K9" s="27" t="n"/>
      <c r="L9" s="17" t="n"/>
      <c r="M9" s="17" t="n"/>
      <c r="N9" s="17" t="n"/>
      <c r="O9" s="17" t="n"/>
      <c r="P9" s="17" t="n"/>
      <c r="Q9" s="17" t="n"/>
      <c r="R9" s="17" t="n"/>
      <c r="S9" s="17" t="n"/>
      <c r="T9" s="17" t="n"/>
      <c r="U9" s="17" t="n"/>
      <c r="V9" s="17" t="n"/>
      <c r="W9" s="17" t="n"/>
      <c r="X9" s="17" t="n"/>
      <c r="Y9" s="17" t="n"/>
      <c r="Z9" s="17" t="n"/>
    </row>
    <row r="10" ht="43.5" customHeight="1" s="15">
      <c r="A10" s="17" t="inlineStr">
        <is>
          <t>G1-005</t>
        </is>
      </c>
      <c r="B10" s="27" t="inlineStr">
        <is>
          <t>STD Templates</t>
        </is>
      </c>
      <c r="C10" s="27" t="inlineStr">
        <is>
          <t>Verify the installed release and provide a deployment-only site On/Off switch.</t>
        </is>
      </c>
      <c r="D10" s="27" t="inlineStr">
        <is>
          <t>Check manifest and assets during installation; install On by default or Off by deployment request.</t>
        </is>
      </c>
      <c r="E10" s="27" t="inlineStr">
        <is>
          <t>Show the read-only switch state and specific integrity/compatibility errors.</t>
        </is>
      </c>
      <c r="F10" s="27" t="inlineStr">
        <is>
          <t>STD-TPL-001 v0.13</t>
        </is>
      </c>
      <c r="G10" s="27" t="inlineStr">
        <is>
          <t>Approved requirement</t>
        </is>
      </c>
      <c r="H10" s="27" t="inlineStr">
        <is>
          <t>Yes</t>
        </is>
      </c>
      <c r="I10" s="27" t="inlineStr">
        <is>
          <t>Not started</t>
        </is>
      </c>
      <c r="J10" s="27" t="inlineStr">
        <is>
          <t>Pending</t>
        </is>
      </c>
      <c r="K10" s="27" t="n"/>
      <c r="L10" s="17" t="n"/>
      <c r="M10" s="17" t="n"/>
      <c r="N10" s="17" t="n"/>
      <c r="O10" s="17" t="n"/>
      <c r="P10" s="17" t="n"/>
      <c r="Q10" s="17" t="n"/>
      <c r="R10" s="17" t="n"/>
      <c r="S10" s="17" t="n"/>
      <c r="T10" s="17" t="n"/>
      <c r="U10" s="17" t="n"/>
      <c r="V10" s="17" t="n"/>
      <c r="W10" s="17" t="n"/>
      <c r="X10" s="17" t="n"/>
      <c r="Y10" s="17" t="n"/>
      <c r="Z10" s="17" t="n"/>
    </row>
    <row r="11" ht="43.5" customHeight="1" s="15">
      <c r="A11" s="17" t="inlineStr">
        <is>
          <t>G1-006</t>
        </is>
      </c>
      <c r="B11" s="27" t="inlineStr">
        <is>
          <t>Tenders</t>
        </is>
      </c>
      <c r="C11" s="27" t="inlineStr">
        <is>
          <t>Consume only an authorised requisition handoff.</t>
        </is>
      </c>
      <c r="D11" s="27" t="inlineStr">
        <is>
          <t>Reject absent, stale or unauthorised source data.</t>
        </is>
      </c>
      <c r="E11" s="27" t="inlineStr">
        <is>
          <t>Name the source problem and owner without technical codes.</t>
        </is>
      </c>
      <c r="F11" s="27" t="inlineStr">
        <is>
          <t>REQ-CHG-001 v1.12 / TPR-CHG-001 v0.13</t>
        </is>
      </c>
      <c r="G11" s="27" t="inlineStr">
        <is>
          <t>Approved requirement</t>
        </is>
      </c>
      <c r="H11" s="27" t="inlineStr">
        <is>
          <t>Yes</t>
        </is>
      </c>
      <c r="I11" s="27" t="inlineStr">
        <is>
          <t>Not started</t>
        </is>
      </c>
      <c r="J11" s="27" t="inlineStr">
        <is>
          <t>Not started</t>
        </is>
      </c>
      <c r="K11" s="27" t="n"/>
      <c r="L11" s="17" t="n"/>
      <c r="M11" s="17" t="n"/>
      <c r="N11" s="17" t="n"/>
      <c r="O11" s="17" t="n"/>
      <c r="P11" s="17" t="n"/>
      <c r="Q11" s="17" t="n"/>
      <c r="R11" s="17" t="n"/>
      <c r="S11" s="17" t="n"/>
      <c r="T11" s="17" t="n"/>
      <c r="U11" s="17" t="n"/>
      <c r="V11" s="17" t="n"/>
      <c r="W11" s="17" t="n"/>
      <c r="X11" s="17" t="n"/>
      <c r="Y11" s="17" t="n"/>
      <c r="Z11" s="17" t="n"/>
    </row>
    <row r="12" ht="43.5" customHeight="1" s="15">
      <c r="A12" s="17" t="inlineStr">
        <is>
          <t>G1-007</t>
        </is>
      </c>
      <c r="B12" s="27" t="inlineStr">
        <is>
          <t>Tenders</t>
        </is>
      </c>
      <c r="C12" s="27" t="inlineStr">
        <is>
          <t>Prepare Tender from an exact installed template that is On for new binding.</t>
        </is>
      </c>
      <c r="D12" s="27" t="inlineStr">
        <is>
          <t>Bind template, renderer and response schema identities only when exactly one release is On and checks pass.</t>
        </is>
      </c>
      <c r="E12" s="27" t="inlineStr">
        <is>
          <t>Progressive preparation journey with concise supporting detail.</t>
        </is>
      </c>
      <c r="F12" s="27" t="inlineStr">
        <is>
          <t>TPR-CHG-001 v0.13 / STD-TPL-001 v0.13</t>
        </is>
      </c>
      <c r="G12" s="27" t="inlineStr">
        <is>
          <t>Approved requirement</t>
        </is>
      </c>
      <c r="H12" s="27" t="inlineStr">
        <is>
          <t>Yes</t>
        </is>
      </c>
      <c r="I12" s="27" t="inlineStr">
        <is>
          <t>Not started</t>
        </is>
      </c>
      <c r="J12" s="27" t="inlineStr">
        <is>
          <t>Not started</t>
        </is>
      </c>
      <c r="K12" s="27" t="n"/>
      <c r="L12" s="17" t="n"/>
      <c r="M12" s="17" t="n"/>
      <c r="N12" s="17" t="n"/>
      <c r="O12" s="17" t="n"/>
      <c r="P12" s="17" t="n"/>
      <c r="Q12" s="17" t="n"/>
      <c r="R12" s="17" t="n"/>
      <c r="S12" s="17" t="n"/>
      <c r="T12" s="17" t="n"/>
      <c r="U12" s="17" t="n"/>
      <c r="V12" s="17" t="n"/>
      <c r="W12" s="17" t="n"/>
      <c r="X12" s="17" t="n"/>
      <c r="Y12" s="17" t="n"/>
      <c r="Z12" s="17" t="n"/>
    </row>
    <row r="13" ht="43.5" customHeight="1" s="15">
      <c r="A13" s="17" t="inlineStr">
        <is>
          <t>G1-008</t>
        </is>
      </c>
      <c r="B13" s="27" t="inlineStr">
        <is>
          <t>Tenders</t>
        </is>
      </c>
      <c r="C13" s="27" t="inlineStr">
        <is>
          <t>Support publication confirmation without presuming integrations.</t>
        </is>
      </c>
      <c r="D13" s="27" t="inlineStr">
        <is>
          <t>HOPF may record evidence for configured channels.</t>
        </is>
      </c>
      <c r="E13" s="27" t="inlineStr">
        <is>
          <t>Clear confirmed/evidence-required states and direct actions.</t>
        </is>
      </c>
      <c r="F13" s="27" t="inlineStr">
        <is>
          <t>TPR-CHG-001 v0.13</t>
        </is>
      </c>
      <c r="G13" s="27" t="inlineStr">
        <is>
          <t>Approved requirement</t>
        </is>
      </c>
      <c r="H13" s="27" t="inlineStr">
        <is>
          <t>Yes</t>
        </is>
      </c>
      <c r="I13" s="27" t="inlineStr">
        <is>
          <t>Not started</t>
        </is>
      </c>
      <c r="J13" s="27" t="inlineStr">
        <is>
          <t>Not started</t>
        </is>
      </c>
      <c r="K13" s="27" t="n"/>
      <c r="L13" s="17" t="n"/>
      <c r="M13" s="17" t="n"/>
      <c r="N13" s="17" t="n"/>
      <c r="O13" s="17" t="n"/>
      <c r="P13" s="17" t="n"/>
      <c r="Q13" s="17" t="n"/>
      <c r="R13" s="17" t="n"/>
      <c r="S13" s="17" t="n"/>
      <c r="T13" s="17" t="n"/>
      <c r="U13" s="17" t="n"/>
      <c r="V13" s="17" t="n"/>
      <c r="W13" s="17" t="n"/>
      <c r="X13" s="17" t="n"/>
      <c r="Y13" s="17" t="n"/>
      <c r="Z13" s="17" t="n"/>
    </row>
    <row r="14" ht="43.5" customHeight="1" s="15">
      <c r="A14" s="17" t="inlineStr">
        <is>
          <t>G1-009</t>
        </is>
      </c>
      <c r="B14" s="27" t="inlineStr">
        <is>
          <t>Tenders</t>
        </is>
      </c>
      <c r="C14" s="27" t="inlineStr">
        <is>
          <t>Implement candidate clarifications and published answers.</t>
        </is>
      </c>
      <c r="D14" s="27" t="inlineStr">
        <is>
          <t>Protect candidate identity and publish general answers lawfully.</t>
        </is>
      </c>
      <c r="E14" s="27" t="inlineStr">
        <is>
          <t>One understandable clarification feed.</t>
        </is>
      </c>
      <c r="F14" s="27" t="inlineStr">
        <is>
          <t>TPR-CHG-001 v0.13 / BDS-CHG-001 v0.8</t>
        </is>
      </c>
      <c r="G14" s="27" t="inlineStr">
        <is>
          <t>Approved requirement</t>
        </is>
      </c>
      <c r="H14" s="27" t="inlineStr">
        <is>
          <t>No</t>
        </is>
      </c>
      <c r="I14" s="27" t="inlineStr">
        <is>
          <t>Not started</t>
        </is>
      </c>
      <c r="J14" s="27" t="inlineStr">
        <is>
          <t>Not started</t>
        </is>
      </c>
      <c r="K14" s="27" t="n"/>
      <c r="L14" s="17" t="n"/>
      <c r="M14" s="17" t="n"/>
      <c r="N14" s="17" t="n"/>
      <c r="O14" s="17" t="n"/>
      <c r="P14" s="17" t="n"/>
      <c r="Q14" s="17" t="n"/>
      <c r="R14" s="17" t="n"/>
      <c r="S14" s="17" t="n"/>
      <c r="T14" s="17" t="n"/>
      <c r="U14" s="17" t="n"/>
      <c r="V14" s="17" t="n"/>
      <c r="W14" s="17" t="n"/>
      <c r="X14" s="17" t="n"/>
      <c r="Y14" s="17" t="n"/>
      <c r="Z14" s="17" t="n"/>
    </row>
    <row r="15" ht="43.5" customHeight="1" s="15">
      <c r="A15" s="17" t="inlineStr">
        <is>
          <t>G1-010</t>
        </is>
      </c>
      <c r="B15" s="27" t="inlineStr">
        <is>
          <t>Tenders</t>
        </is>
      </c>
      <c r="C15" s="27" t="inlineStr">
        <is>
          <t>Implement addenda as the only requirement-change mechanism.</t>
        </is>
      </c>
      <c r="D15" s="27" t="inlineStr">
        <is>
          <t>Issue immutable addendum and update affected bid definition.</t>
        </is>
      </c>
      <c r="E15" s="27" t="inlineStr">
        <is>
          <t>Prominent change notice and acknowledgement state.</t>
        </is>
      </c>
      <c r="F15" s="27" t="inlineStr">
        <is>
          <t>TPR-CHG-001 v0.13 / BDS-CHG-001 v0.8</t>
        </is>
      </c>
      <c r="G15" s="27" t="inlineStr">
        <is>
          <t>Approved requirement</t>
        </is>
      </c>
      <c r="H15" s="27" t="inlineStr">
        <is>
          <t>Yes</t>
        </is>
      </c>
      <c r="I15" s="27" t="inlineStr">
        <is>
          <t>Not started</t>
        </is>
      </c>
      <c r="J15" s="27" t="inlineStr">
        <is>
          <t>Not started</t>
        </is>
      </c>
      <c r="K15" s="27" t="n"/>
      <c r="L15" s="17" t="n"/>
      <c r="M15" s="17" t="n"/>
      <c r="N15" s="17" t="n"/>
      <c r="O15" s="17" t="n"/>
      <c r="P15" s="17" t="n"/>
      <c r="Q15" s="17" t="n"/>
      <c r="R15" s="17" t="n"/>
      <c r="S15" s="17" t="n"/>
      <c r="T15" s="17" t="n"/>
      <c r="U15" s="17" t="n"/>
      <c r="V15" s="17" t="n"/>
      <c r="W15" s="17" t="n"/>
      <c r="X15" s="17" t="n"/>
      <c r="Y15" s="17" t="n"/>
      <c r="Z15" s="17" t="n"/>
    </row>
    <row r="16" ht="43.5" customHeight="1" s="15">
      <c r="A16" s="17" t="inlineStr">
        <is>
          <t>G1-011</t>
        </is>
      </c>
      <c r="B16" s="27" t="inlineStr">
        <is>
          <t>Public Portal</t>
        </is>
      </c>
      <c r="C16" s="27" t="inlineStr">
        <is>
          <t>Publish tender list and tender detail pages.</t>
        </is>
      </c>
      <c r="D16" s="27" t="inlineStr">
        <is>
          <t>Public read access to issued tenders and current documents.</t>
        </is>
      </c>
      <c r="E16" s="27" t="inlineStr">
        <is>
          <t>Simple search/list/detail; reusable framework pages where suitable.</t>
        </is>
      </c>
      <c r="F16" s="27" t="inlineStr">
        <is>
          <t>TPR-CHG-001 v0.13 / BDS-CHG-001 v0.8</t>
        </is>
      </c>
      <c r="G16" s="27" t="inlineStr">
        <is>
          <t>Approved requirement</t>
        </is>
      </c>
      <c r="H16" s="27" t="inlineStr">
        <is>
          <t>Yes</t>
        </is>
      </c>
      <c r="I16" s="27" t="inlineStr">
        <is>
          <t>Not started</t>
        </is>
      </c>
      <c r="J16" s="27" t="inlineStr">
        <is>
          <t>Not started</t>
        </is>
      </c>
      <c r="K16" s="27" t="n"/>
      <c r="L16" s="17" t="n"/>
      <c r="M16" s="17" t="n"/>
      <c r="N16" s="17" t="n"/>
      <c r="O16" s="17" t="n"/>
      <c r="P16" s="17" t="n"/>
      <c r="Q16" s="17" t="n"/>
      <c r="R16" s="17" t="n"/>
      <c r="S16" s="17" t="n"/>
      <c r="T16" s="17" t="n"/>
      <c r="U16" s="17" t="n"/>
      <c r="V16" s="17" t="n"/>
      <c r="W16" s="17" t="n"/>
      <c r="X16" s="17" t="n"/>
      <c r="Y16" s="17" t="n"/>
      <c r="Z16" s="17" t="n"/>
    </row>
    <row r="17" ht="43.5" customHeight="1" s="15">
      <c r="A17" s="17" t="inlineStr">
        <is>
          <t>G1-012</t>
        </is>
      </c>
      <c r="B17" s="27" t="inlineStr">
        <is>
          <t>Supplier Access</t>
        </is>
      </c>
      <c r="C17" s="27" t="inlineStr">
        <is>
          <t>Use framework registration/login and return-to-tender behaviour.</t>
        </is>
      </c>
      <c r="D17" s="27" t="inlineStr">
        <is>
          <t>Authenticate supplier contact and preserve intended destination.</t>
        </is>
      </c>
      <c r="E17" s="27" t="inlineStr">
        <is>
          <t>Direct access with minimal account friction.</t>
        </is>
      </c>
      <c r="F17" s="27" t="inlineStr">
        <is>
          <t>BDS-CHG-001 v0.8</t>
        </is>
      </c>
      <c r="G17" s="27" t="inlineStr">
        <is>
          <t>Approved requirement</t>
        </is>
      </c>
      <c r="H17" s="27" t="inlineStr">
        <is>
          <t>Yes</t>
        </is>
      </c>
      <c r="I17" s="27" t="inlineStr">
        <is>
          <t>Not started</t>
        </is>
      </c>
      <c r="J17" s="27" t="inlineStr">
        <is>
          <t>Not started</t>
        </is>
      </c>
      <c r="K17" s="27" t="n"/>
      <c r="L17" s="17" t="n"/>
      <c r="M17" s="17" t="n"/>
      <c r="N17" s="17" t="n"/>
      <c r="O17" s="17" t="n"/>
      <c r="P17" s="17" t="n"/>
      <c r="Q17" s="17" t="n"/>
      <c r="R17" s="17" t="n"/>
      <c r="S17" s="17" t="n"/>
      <c r="T17" s="17" t="n"/>
      <c r="U17" s="17" t="n"/>
      <c r="V17" s="17" t="n"/>
      <c r="W17" s="17" t="n"/>
      <c r="X17" s="17" t="n"/>
      <c r="Y17" s="17" t="n"/>
      <c r="Z17" s="17" t="n"/>
    </row>
    <row r="18" ht="43.5" customHeight="1" s="15">
      <c r="A18" s="17" t="inlineStr">
        <is>
          <t>G1-013</t>
        </is>
      </c>
      <c r="B18" s="27" t="inlineStr">
        <is>
          <t>Supplier Access</t>
        </is>
      </c>
      <c r="C18" s="27" t="inlineStr">
        <is>
          <t>Scope users to their own supplier organisation.</t>
        </is>
      </c>
      <c r="D18" s="27" t="inlineStr">
        <is>
          <t>Use the framework permission extension point.</t>
        </is>
      </c>
      <c r="E18" s="27" t="inlineStr">
        <is>
          <t>Never expose cross-supplier records or selectors.</t>
        </is>
      </c>
      <c r="F18" s="27" t="inlineStr">
        <is>
          <t>BDS-CHG-001 v0.8 / AUTH-ADR-001 v1.10</t>
        </is>
      </c>
      <c r="G18" s="27" t="inlineStr">
        <is>
          <t>Mixed approved/proposed</t>
        </is>
      </c>
      <c r="H18" s="27" t="inlineStr">
        <is>
          <t>Yes</t>
        </is>
      </c>
      <c r="I18" s="27" t="inlineStr">
        <is>
          <t>Not started</t>
        </is>
      </c>
      <c r="J18" s="27" t="inlineStr">
        <is>
          <t>Not started</t>
        </is>
      </c>
      <c r="K18" s="27" t="n"/>
      <c r="L18" s="17" t="n"/>
      <c r="M18" s="17" t="n"/>
      <c r="N18" s="17" t="n"/>
      <c r="O18" s="17" t="n"/>
      <c r="P18" s="17" t="n"/>
      <c r="Q18" s="17" t="n"/>
      <c r="R18" s="17" t="n"/>
      <c r="S18" s="17" t="n"/>
      <c r="T18" s="17" t="n"/>
      <c r="U18" s="17" t="n"/>
      <c r="V18" s="17" t="n"/>
      <c r="W18" s="17" t="n"/>
      <c r="X18" s="17" t="n"/>
      <c r="Y18" s="17" t="n"/>
      <c r="Z18" s="17" t="n"/>
    </row>
    <row r="19" ht="43.5" customHeight="1" s="15">
      <c r="A19" s="17" t="inlineStr">
        <is>
          <t>G1-014</t>
        </is>
      </c>
      <c r="B19" s="27" t="inlineStr">
        <is>
          <t>Bid Workspace</t>
        </is>
      </c>
      <c r="C19" s="27" t="inlineStr">
        <is>
          <t>Make Start bid atomic.</t>
        </is>
      </c>
      <c r="D19" s="27" t="inlineStr">
        <is>
          <t>Create candidate registration, contact and bid workspace together.</t>
        </is>
      </c>
      <c r="E19" s="27" t="inlineStr">
        <is>
          <t>Single Start bid action and deterministic recovery.</t>
        </is>
      </c>
      <c r="F19" s="27" t="inlineStr">
        <is>
          <t>BDS-CHG-001 v0.8</t>
        </is>
      </c>
      <c r="G19" s="27" t="inlineStr">
        <is>
          <t>Approved requirement</t>
        </is>
      </c>
      <c r="H19" s="27" t="inlineStr">
        <is>
          <t>Yes</t>
        </is>
      </c>
      <c r="I19" s="27" t="inlineStr">
        <is>
          <t>Not started</t>
        </is>
      </c>
      <c r="J19" s="27" t="inlineStr">
        <is>
          <t>Not started</t>
        </is>
      </c>
      <c r="K19" s="27" t="n"/>
      <c r="L19" s="17" t="n"/>
      <c r="M19" s="17" t="n"/>
      <c r="N19" s="17" t="n"/>
      <c r="O19" s="17" t="n"/>
      <c r="P19" s="17" t="n"/>
      <c r="Q19" s="17" t="n"/>
      <c r="R19" s="17" t="n"/>
      <c r="S19" s="17" t="n"/>
      <c r="T19" s="17" t="n"/>
      <c r="U19" s="17" t="n"/>
      <c r="V19" s="17" t="n"/>
      <c r="W19" s="17" t="n"/>
      <c r="X19" s="17" t="n"/>
      <c r="Y19" s="17" t="n"/>
      <c r="Z19" s="17" t="n"/>
    </row>
    <row r="20" ht="43.5" customHeight="1" s="15">
      <c r="A20" s="17" t="inlineStr">
        <is>
          <t>G1-015</t>
        </is>
      </c>
      <c r="B20" s="27" t="inlineStr">
        <is>
          <t>Bid Workspace</t>
        </is>
      </c>
      <c r="C20" s="27" t="inlineStr">
        <is>
          <t>Generate the workspace from the exact PublishedBidDefinition.</t>
        </is>
      </c>
      <c r="D20" s="27" t="inlineStr">
        <is>
          <t>Render only supported typed controls and immutable row identities.</t>
        </is>
      </c>
      <c r="E20" s="27" t="inlineStr">
        <is>
          <t>Goods, Works and Services differ through metadata, not bespoke page forks.</t>
        </is>
      </c>
      <c r="F20" s="27" t="inlineStr">
        <is>
          <t>BDS-CHG-001 v0.8 / STD-TPL-001 v0.13</t>
        </is>
      </c>
      <c r="G20" s="27" t="inlineStr">
        <is>
          <t>Approved requirement</t>
        </is>
      </c>
      <c r="H20" s="27" t="inlineStr">
        <is>
          <t>Yes</t>
        </is>
      </c>
      <c r="I20" s="27" t="inlineStr">
        <is>
          <t>Not started</t>
        </is>
      </c>
      <c r="J20" s="27" t="inlineStr">
        <is>
          <t>Not started</t>
        </is>
      </c>
      <c r="K20" s="27" t="n"/>
      <c r="L20" s="17" t="n"/>
      <c r="M20" s="17" t="n"/>
      <c r="N20" s="17" t="n"/>
      <c r="O20" s="17" t="n"/>
      <c r="P20" s="17" t="n"/>
      <c r="Q20" s="17" t="n"/>
      <c r="R20" s="17" t="n"/>
      <c r="S20" s="17" t="n"/>
      <c r="T20" s="17" t="n"/>
      <c r="U20" s="17" t="n"/>
      <c r="V20" s="17" t="n"/>
      <c r="W20" s="17" t="n"/>
      <c r="X20" s="17" t="n"/>
      <c r="Y20" s="17" t="n"/>
      <c r="Z20" s="17" t="n"/>
    </row>
    <row r="21" ht="43.5" customHeight="1" s="15">
      <c r="A21" s="17" t="inlineStr">
        <is>
          <t>G1-016</t>
        </is>
      </c>
      <c r="B21" s="27" t="inlineStr">
        <is>
          <t>Bid Workspace</t>
        </is>
      </c>
      <c r="C21" s="27" t="inlineStr">
        <is>
          <t>Support documents, company details, requirements, price and review tasks.</t>
        </is>
      </c>
      <c r="D21" s="27" t="inlineStr">
        <is>
          <t>Persist draft answers and validation state per row.</t>
        </is>
      </c>
      <c r="E21" s="27" t="inlineStr">
        <is>
          <t>Short, structured task sections with progress and actionable errors.</t>
        </is>
      </c>
      <c r="F21" s="27" t="inlineStr">
        <is>
          <t>BDS-CHG-001 v0.8</t>
        </is>
      </c>
      <c r="G21" s="27" t="inlineStr">
        <is>
          <t>Approved requirement</t>
        </is>
      </c>
      <c r="H21" s="27" t="inlineStr">
        <is>
          <t>Yes</t>
        </is>
      </c>
      <c r="I21" s="27" t="inlineStr">
        <is>
          <t>Not started</t>
        </is>
      </c>
      <c r="J21" s="27" t="inlineStr">
        <is>
          <t>Not started</t>
        </is>
      </c>
      <c r="K21" s="27" t="n"/>
      <c r="L21" s="17" t="n"/>
      <c r="M21" s="17" t="n"/>
      <c r="N21" s="17" t="n"/>
      <c r="O21" s="17" t="n"/>
      <c r="P21" s="17" t="n"/>
      <c r="Q21" s="17" t="n"/>
      <c r="R21" s="17" t="n"/>
      <c r="S21" s="17" t="n"/>
      <c r="T21" s="17" t="n"/>
      <c r="U21" s="17" t="n"/>
      <c r="V21" s="17" t="n"/>
      <c r="W21" s="17" t="n"/>
      <c r="X21" s="17" t="n"/>
      <c r="Y21" s="17" t="n"/>
      <c r="Z21" s="17" t="n"/>
    </row>
    <row r="22" ht="43.5" customHeight="1" s="15">
      <c r="A22" s="17" t="inlineStr">
        <is>
          <t>G1-017</t>
        </is>
      </c>
      <c r="B22" s="27" t="inlineStr">
        <is>
          <t>Bid Workspace</t>
        </is>
      </c>
      <c r="C22" s="27" t="inlineStr">
        <is>
          <t>Handle addendum refresh and acknowledgement safely.</t>
        </is>
      </c>
      <c r="D22" s="27" t="inlineStr">
        <is>
          <t>Detect definition change, preserve compatible answers and require acknowledgement.</t>
        </is>
      </c>
      <c r="E22" s="27" t="inlineStr">
        <is>
          <t>Explain exactly what changed and what the supplier must revisit.</t>
        </is>
      </c>
      <c r="F22" s="27" t="inlineStr">
        <is>
          <t>BDS-CHG-001 v0.8</t>
        </is>
      </c>
      <c r="G22" s="27" t="inlineStr">
        <is>
          <t>Approved requirement</t>
        </is>
      </c>
      <c r="H22" s="27" t="inlineStr">
        <is>
          <t>Yes</t>
        </is>
      </c>
      <c r="I22" s="27" t="inlineStr">
        <is>
          <t>Not started</t>
        </is>
      </c>
      <c r="J22" s="27" t="inlineStr">
        <is>
          <t>Not started</t>
        </is>
      </c>
      <c r="K22" s="27" t="n"/>
      <c r="L22" s="17" t="n"/>
      <c r="M22" s="17" t="n"/>
      <c r="N22" s="17" t="n"/>
      <c r="O22" s="17" t="n"/>
      <c r="P22" s="17" t="n"/>
      <c r="Q22" s="17" t="n"/>
      <c r="R22" s="17" t="n"/>
      <c r="S22" s="17" t="n"/>
      <c r="T22" s="17" t="n"/>
      <c r="U22" s="17" t="n"/>
      <c r="V22" s="17" t="n"/>
      <c r="W22" s="17" t="n"/>
      <c r="X22" s="17" t="n"/>
      <c r="Y22" s="17" t="n"/>
      <c r="Z22" s="17" t="n"/>
    </row>
    <row r="23" ht="43.5" customHeight="1" s="15">
      <c r="A23" s="17" t="inlineStr">
        <is>
          <t>G1-018</t>
        </is>
      </c>
      <c r="B23" s="27" t="inlineStr">
        <is>
          <t>Bid Submission</t>
        </is>
      </c>
      <c r="C23" s="27" t="inlineStr">
        <is>
          <t>Validate submission availability centrally.</t>
        </is>
      </c>
      <c r="D23" s="27" t="inlineStr">
        <is>
          <t>One deployment flag plus deadline, release and operating checks.</t>
        </is>
      </c>
      <c r="E23" s="27" t="inlineStr">
        <is>
          <t>Approved temporary-unavailability message; drafts remain safe.</t>
        </is>
      </c>
      <c r="F23" s="27" t="inlineStr">
        <is>
          <t>BDS-CHG-001 v0.8 / CFG-CHG-002 v0.16</t>
        </is>
      </c>
      <c r="G23" s="27" t="inlineStr">
        <is>
          <t>Mixed approved/proposed</t>
        </is>
      </c>
      <c r="H23" s="27" t="inlineStr">
        <is>
          <t>Yes</t>
        </is>
      </c>
      <c r="I23" s="27" t="inlineStr">
        <is>
          <t>Not started</t>
        </is>
      </c>
      <c r="J23" s="27" t="inlineStr">
        <is>
          <t>Not started</t>
        </is>
      </c>
      <c r="K23" s="27" t="n"/>
      <c r="L23" s="17" t="n"/>
      <c r="M23" s="17" t="n"/>
      <c r="N23" s="17" t="n"/>
      <c r="O23" s="17" t="n"/>
      <c r="P23" s="17" t="n"/>
      <c r="Q23" s="17" t="n"/>
      <c r="R23" s="17" t="n"/>
      <c r="S23" s="17" t="n"/>
      <c r="T23" s="17" t="n"/>
      <c r="U23" s="17" t="n"/>
      <c r="V23" s="17" t="n"/>
      <c r="W23" s="17" t="n"/>
      <c r="X23" s="17" t="n"/>
      <c r="Y23" s="17" t="n"/>
      <c r="Z23" s="17" t="n"/>
    </row>
    <row r="24" ht="43.5" customHeight="1" s="15">
      <c r="A24" s="17" t="inlineStr">
        <is>
          <t>G1-019</t>
        </is>
      </c>
      <c r="B24" s="27" t="inlineStr">
        <is>
          <t>Bid Submission</t>
        </is>
      </c>
      <c r="C24" s="27" t="inlineStr">
        <is>
          <t>Capture lawful signer authority and declarations.</t>
        </is>
      </c>
      <c r="D24" s="27" t="inlineStr">
        <is>
          <t>Use typed declarations and identity evidence; do not use a drawn-image signature as a cryptographic signature.</t>
        </is>
      </c>
      <c r="E24" s="27" t="inlineStr">
        <is>
          <t>Plain explanation of authority and consequence.</t>
        </is>
      </c>
      <c r="F24" s="27" t="inlineStr">
        <is>
          <t>BDS-CHG-001 v0.8 / STD-TPL-001 v0.13</t>
        </is>
      </c>
      <c r="G24" s="27" t="inlineStr">
        <is>
          <t>Approved requirement</t>
        </is>
      </c>
      <c r="H24" s="27" t="inlineStr">
        <is>
          <t>Yes</t>
        </is>
      </c>
      <c r="I24" s="27" t="inlineStr">
        <is>
          <t>Not started</t>
        </is>
      </c>
      <c r="J24" s="27" t="inlineStr">
        <is>
          <t>Not started</t>
        </is>
      </c>
      <c r="K24" s="27" t="n"/>
      <c r="L24" s="17" t="n"/>
      <c r="M24" s="17" t="n"/>
      <c r="N24" s="17" t="n"/>
      <c r="O24" s="17" t="n"/>
      <c r="P24" s="17" t="n"/>
      <c r="Q24" s="17" t="n"/>
      <c r="R24" s="17" t="n"/>
      <c r="S24" s="17" t="n"/>
      <c r="T24" s="17" t="n"/>
      <c r="U24" s="17" t="n"/>
      <c r="V24" s="17" t="n"/>
      <c r="W24" s="17" t="n"/>
      <c r="X24" s="17" t="n"/>
      <c r="Y24" s="17" t="n"/>
      <c r="Z24" s="17" t="n"/>
    </row>
    <row r="25" ht="43.5" customHeight="1" s="15">
      <c r="A25" s="17" t="inlineStr">
        <is>
          <t>G1-020</t>
        </is>
      </c>
      <c r="B25" s="27" t="inlineStr">
        <is>
          <t>Bid Submission</t>
        </is>
      </c>
      <c r="C25" s="27" t="inlineStr">
        <is>
          <t>Handle tender security/deposit evidence from template metadata.</t>
        </is>
      </c>
      <c r="D25" s="27" t="inlineStr">
        <is>
          <t>Validate applicable instrument, evidence and expiry rules.</t>
        </is>
      </c>
      <c r="E25" s="27" t="inlineStr">
        <is>
          <t>Show only the instrument actually required.</t>
        </is>
      </c>
      <c r="F25" s="27" t="inlineStr">
        <is>
          <t>BDS-CHG-001 v0.8 / STD-TPL-001 v0.13</t>
        </is>
      </c>
      <c r="G25" s="27" t="inlineStr">
        <is>
          <t>Approved requirement</t>
        </is>
      </c>
      <c r="H25" s="27" t="inlineStr">
        <is>
          <t>Yes</t>
        </is>
      </c>
      <c r="I25" s="27" t="inlineStr">
        <is>
          <t>Not started</t>
        </is>
      </c>
      <c r="J25" s="27" t="inlineStr">
        <is>
          <t>Not started</t>
        </is>
      </c>
      <c r="K25" s="27" t="n"/>
      <c r="L25" s="17" t="n"/>
      <c r="M25" s="17" t="n"/>
      <c r="N25" s="17" t="n"/>
      <c r="O25" s="17" t="n"/>
      <c r="P25" s="17" t="n"/>
      <c r="Q25" s="17" t="n"/>
      <c r="R25" s="17" t="n"/>
      <c r="S25" s="17" t="n"/>
      <c r="T25" s="17" t="n"/>
      <c r="U25" s="17" t="n"/>
      <c r="V25" s="17" t="n"/>
      <c r="W25" s="17" t="n"/>
      <c r="X25" s="17" t="n"/>
      <c r="Y25" s="17" t="n"/>
      <c r="Z25" s="17" t="n"/>
    </row>
    <row r="26" ht="43.5" customHeight="1" s="15">
      <c r="A26" s="17" t="inlineStr">
        <is>
          <t>G1-021</t>
        </is>
      </c>
      <c r="B26" s="27" t="inlineStr">
        <is>
          <t>Bid Submission</t>
        </is>
      </c>
      <c r="C26" s="27" t="inlineStr">
        <is>
          <t>Seal bid and create immutable receipt atomically.</t>
        </is>
      </c>
      <c r="D26" s="27" t="inlineStr">
        <is>
          <t>One transaction creates sealed handoff and receipt identity.</t>
        </is>
      </c>
      <c r="E26" s="27" t="inlineStr">
        <is>
          <t>Clear submitted state and downloadable receipt.</t>
        </is>
      </c>
      <c r="F26" s="27" t="inlineStr">
        <is>
          <t>BDS-CHG-001 v0.8</t>
        </is>
      </c>
      <c r="G26" s="27" t="inlineStr">
        <is>
          <t>Approved requirement</t>
        </is>
      </c>
      <c r="H26" s="27" t="inlineStr">
        <is>
          <t>Yes</t>
        </is>
      </c>
      <c r="I26" s="27" t="inlineStr">
        <is>
          <t>Not started</t>
        </is>
      </c>
      <c r="J26" s="27" t="inlineStr">
        <is>
          <t>Not started</t>
        </is>
      </c>
      <c r="K26" s="27" t="n"/>
      <c r="L26" s="17" t="n"/>
      <c r="M26" s="17" t="n"/>
      <c r="N26" s="17" t="n"/>
      <c r="O26" s="17" t="n"/>
      <c r="P26" s="17" t="n"/>
      <c r="Q26" s="17" t="n"/>
      <c r="R26" s="17" t="n"/>
      <c r="S26" s="17" t="n"/>
      <c r="T26" s="17" t="n"/>
      <c r="U26" s="17" t="n"/>
      <c r="V26" s="17" t="n"/>
      <c r="W26" s="17" t="n"/>
      <c r="X26" s="17" t="n"/>
      <c r="Y26" s="17" t="n"/>
      <c r="Z26" s="17" t="n"/>
    </row>
    <row r="27" ht="43.5" customHeight="1" s="15">
      <c r="A27" s="17" t="inlineStr">
        <is>
          <t>G1-022</t>
        </is>
      </c>
      <c r="B27" s="27" t="inlineStr">
        <is>
          <t>Integrated Verification</t>
        </is>
      </c>
      <c r="C27" s="27" t="inlineStr">
        <is>
          <t>Reconcile SEED-001 to Gate 1 and reservation corrections.</t>
        </is>
      </c>
      <c r="D27" s="27" t="inlineStr">
        <is>
          <t>One consistent actor/date/value/identity pack.</t>
        </is>
      </c>
      <c r="E27" s="27" t="inlineStr">
        <is>
          <t>Artboards and tests use the same isolated fixtures.</t>
        </is>
      </c>
      <c r="F27" s="27" t="inlineStr">
        <is>
          <t>SEED-001 v1.3</t>
        </is>
      </c>
      <c r="G27" s="27" t="inlineStr">
        <is>
          <t>Approved requirement</t>
        </is>
      </c>
      <c r="H27" s="27" t="inlineStr">
        <is>
          <t>Yes</t>
        </is>
      </c>
      <c r="I27" s="27" t="inlineStr">
        <is>
          <t>Not started</t>
        </is>
      </c>
      <c r="J27" s="27" t="inlineStr">
        <is>
          <t>Pending</t>
        </is>
      </c>
      <c r="K27" s="27" t="n"/>
      <c r="L27" s="17" t="n"/>
      <c r="M27" s="17" t="n"/>
      <c r="N27" s="17" t="n"/>
      <c r="O27" s="17" t="n"/>
      <c r="P27" s="17" t="n"/>
      <c r="Q27" s="17" t="n"/>
      <c r="R27" s="17" t="n"/>
      <c r="S27" s="17" t="n"/>
      <c r="T27" s="17" t="n"/>
      <c r="U27" s="17" t="n"/>
      <c r="V27" s="17" t="n"/>
      <c r="W27" s="17" t="n"/>
      <c r="X27" s="17" t="n"/>
      <c r="Y27" s="17" t="n"/>
      <c r="Z27" s="17" t="n"/>
    </row>
    <row r="28" ht="43.5" customHeight="1" s="15">
      <c r="A28" s="17" t="inlineStr">
        <is>
          <t>G1-023</t>
        </is>
      </c>
      <c r="B28" s="27" t="inlineStr">
        <is>
          <t>Integrated Verification</t>
        </is>
      </c>
      <c r="C28" s="27" t="inlineStr">
        <is>
          <t>Run end-to-end public/vendor fixture.</t>
        </is>
      </c>
      <c r="D28" s="27" t="inlineStr">
        <is>
          <t>Prove requisition handoff through sealed submission without crossing into opening.</t>
        </is>
      </c>
      <c r="E28" s="27" t="inlineStr">
        <is>
          <t>Verify role-specific happy paths and failure states.</t>
        </is>
      </c>
      <c r="F28" s="27" t="inlineStr">
        <is>
          <t>G1-REG-001 v1.1 / STD-ST-001 v0.5</t>
        </is>
      </c>
      <c r="G28" s="27" t="inlineStr">
        <is>
          <t>Approved requirement</t>
        </is>
      </c>
      <c r="H28" s="27" t="inlineStr">
        <is>
          <t>Yes</t>
        </is>
      </c>
      <c r="I28" s="27" t="inlineStr">
        <is>
          <t>Not started</t>
        </is>
      </c>
      <c r="J28" s="27" t="inlineStr">
        <is>
          <t>Not started</t>
        </is>
      </c>
      <c r="K28" s="27" t="n"/>
      <c r="L28" s="17" t="n"/>
      <c r="M28" s="17" t="n"/>
      <c r="N28" s="17" t="n"/>
      <c r="O28" s="17" t="n"/>
      <c r="P28" s="17" t="n"/>
      <c r="Q28" s="17" t="n"/>
      <c r="R28" s="17" t="n"/>
      <c r="S28" s="17" t="n"/>
      <c r="T28" s="17" t="n"/>
      <c r="U28" s="17" t="n"/>
      <c r="V28" s="17" t="n"/>
      <c r="W28" s="17" t="n"/>
      <c r="X28" s="17" t="n"/>
      <c r="Y28" s="17" t="n"/>
      <c r="Z28" s="17" t="n"/>
    </row>
    <row r="29" ht="43.5" customHeight="1" s="15">
      <c r="A29" s="17" t="inlineStr">
        <is>
          <t>G1-024</t>
        </is>
      </c>
      <c r="B29" s="27" t="inlineStr">
        <is>
          <t>Release</t>
        </is>
      </c>
      <c r="C29" s="27" t="inlineStr">
        <is>
          <t>Enable production submission only after operating-profile approval.</t>
        </is>
      </c>
      <c r="D29" s="27" t="inlineStr">
        <is>
          <t>Confirm support, incident, recovery, monitoring and authority readiness.</t>
        </is>
      </c>
      <c r="E29" s="27" t="inlineStr">
        <is>
          <t>No hidden or partial enablement.</t>
        </is>
      </c>
      <c r="F29" s="27" t="inlineStr">
        <is>
          <t>G1-REG-001 v1.1 / BDS-CHG-001 v0.8</t>
        </is>
      </c>
      <c r="G29" s="27" t="inlineStr">
        <is>
          <t>Approved requirement</t>
        </is>
      </c>
      <c r="H29" s="27" t="inlineStr">
        <is>
          <t>Yes</t>
        </is>
      </c>
      <c r="I29" s="27" t="inlineStr">
        <is>
          <t>Not started</t>
        </is>
      </c>
      <c r="J29" s="27" t="inlineStr">
        <is>
          <t>Not started</t>
        </is>
      </c>
      <c r="K29" s="27" t="n"/>
      <c r="L29" s="17" t="n"/>
      <c r="M29" s="17" t="n"/>
      <c r="N29" s="17" t="n"/>
      <c r="O29" s="17" t="n"/>
      <c r="P29" s="17" t="n"/>
      <c r="Q29" s="17" t="n"/>
      <c r="R29" s="17" t="n"/>
      <c r="S29" s="17" t="n"/>
      <c r="T29" s="17" t="n"/>
      <c r="U29" s="17" t="n"/>
      <c r="V29" s="17" t="n"/>
      <c r="W29" s="17" t="n"/>
      <c r="X29" s="17" t="n"/>
      <c r="Y29" s="17" t="n"/>
      <c r="Z29" s="17" t="n"/>
    </row>
    <row r="30" ht="43.5" customHeight="1" s="15">
      <c r="A30" s="17" t="inlineStr">
        <is>
          <t>G1-025</t>
        </is>
      </c>
      <c r="B30" s="27" t="inlineStr">
        <is>
          <t>STD Templates</t>
        </is>
      </c>
      <c r="C30" s="27" t="inlineStr">
        <is>
          <t>Implement the exact installed-release runtime authority.</t>
        </is>
      </c>
      <c r="D30" s="27" t="inlineStr">
        <is>
          <t>Immutable registry/assets, verified installation and audited deployment-only On/Off switch.</t>
        </is>
      </c>
      <c r="E30" s="27" t="inlineStr">
        <is>
          <t>Read-only state in STD Templates; no template editing or adoption approval.</t>
        </is>
      </c>
      <c r="F30" s="27" t="inlineStr">
        <is>
          <t>STD-TPL-IMP-001 v1.1</t>
        </is>
      </c>
      <c r="G30" s="27" t="inlineStr">
        <is>
          <t>Approved requirement</t>
        </is>
      </c>
      <c r="H30" s="27" t="inlineStr">
        <is>
          <t>Yes</t>
        </is>
      </c>
      <c r="I30" s="27" t="inlineStr">
        <is>
          <t>Not started</t>
        </is>
      </c>
      <c r="J30" s="27" t="inlineStr">
        <is>
          <t>Not started</t>
        </is>
      </c>
      <c r="K30" s="27" t="n"/>
      <c r="L30" s="17" t="n"/>
      <c r="M30" s="17" t="n"/>
      <c r="N30" s="17" t="n"/>
      <c r="O30" s="17" t="n"/>
      <c r="P30" s="17" t="n"/>
      <c r="Q30" s="17" t="n"/>
      <c r="R30" s="17" t="n"/>
      <c r="S30" s="17" t="n"/>
      <c r="T30" s="17" t="n"/>
      <c r="U30" s="17" t="n"/>
      <c r="V30" s="17" t="n"/>
      <c r="W30" s="17" t="n"/>
      <c r="X30" s="17" t="n"/>
      <c r="Y30" s="17" t="n"/>
      <c r="Z30" s="17" t="n"/>
    </row>
    <row r="31" ht="43.5" customHeight="1" s="15">
      <c r="A31" s="17" t="inlineStr">
        <is>
          <t>G1-026</t>
        </is>
      </c>
      <c r="B31" s="27" t="inlineStr">
        <is>
          <t>STD Templates</t>
        </is>
      </c>
      <c r="C31" s="27" t="inlineStr">
        <is>
          <t>Expose complete coverage, exclusions and generated release comparison.</t>
        </is>
      </c>
      <c r="D31" s="27" t="inlineStr">
        <is>
          <t>Paged inspection from manifest-owned projections.</t>
        </is>
      </c>
      <c r="E31" s="27" t="inlineStr">
        <is>
          <t>Coverage and changes section with plain summaries and drill-down, not raw JSON.</t>
        </is>
      </c>
      <c r="F31" s="27" t="inlineStr">
        <is>
          <t>STD-TPL-001 v0.13 / STD-TPL-IMP-001 v1.1</t>
        </is>
      </c>
      <c r="G31" s="27" t="inlineStr">
        <is>
          <t>Mixed approved/proposed</t>
        </is>
      </c>
      <c r="H31" s="27" t="inlineStr">
        <is>
          <t>Yes</t>
        </is>
      </c>
      <c r="I31" s="27" t="inlineStr">
        <is>
          <t>Not started</t>
        </is>
      </c>
      <c r="J31" s="27" t="inlineStr">
        <is>
          <t>Not started</t>
        </is>
      </c>
      <c r="K31" s="27" t="n"/>
      <c r="L31" s="17" t="n"/>
      <c r="M31" s="17" t="n"/>
      <c r="N31" s="17" t="n"/>
      <c r="O31" s="17" t="n"/>
      <c r="P31" s="17" t="n"/>
      <c r="Q31" s="17" t="n"/>
      <c r="R31" s="17" t="n"/>
      <c r="S31" s="17" t="n"/>
      <c r="T31" s="17" t="n"/>
      <c r="U31" s="17" t="n"/>
      <c r="V31" s="17" t="n"/>
      <c r="W31" s="17" t="n"/>
      <c r="X31" s="17" t="n"/>
      <c r="Y31" s="17" t="n"/>
      <c r="Z31" s="17" t="n"/>
    </row>
    <row r="32" ht="43.5" customHeight="1" s="15">
      <c r="A32" s="17" t="inlineStr">
        <is>
          <t>G1-027</t>
        </is>
      </c>
      <c r="B32" s="27" t="inlineStr">
        <is>
          <t>STD Templates</t>
        </is>
      </c>
      <c r="C32" s="27" t="inlineStr">
        <is>
          <t>Add bounded release concern capture.</t>
        </is>
      </c>
      <c r="D32" s="27" t="inlineStr">
        <is>
          <t>Create and resolve a concern without automatic content or lifecycle effect.</t>
        </is>
      </c>
      <c r="E32" s="27" t="inlineStr">
        <is>
          <t>One Report concern dialog in Verification.</t>
        </is>
      </c>
      <c r="F32" s="27" t="inlineStr">
        <is>
          <t>STD-TPL-001 v0.13 / AUTH-ADR-001 v1.10</t>
        </is>
      </c>
      <c r="G32" s="27" t="inlineStr">
        <is>
          <t>Mixed approved/proposed</t>
        </is>
      </c>
      <c r="H32" s="27" t="inlineStr">
        <is>
          <t>No</t>
        </is>
      </c>
      <c r="I32" s="27" t="inlineStr">
        <is>
          <t>Not started</t>
        </is>
      </c>
      <c r="J32" s="27" t="inlineStr">
        <is>
          <t>Not started</t>
        </is>
      </c>
      <c r="K32" s="27" t="n"/>
      <c r="L32" s="17" t="n"/>
      <c r="M32" s="17" t="n"/>
      <c r="N32" s="17" t="n"/>
      <c r="O32" s="17" t="n"/>
      <c r="P32" s="17" t="n"/>
      <c r="Q32" s="17" t="n"/>
      <c r="R32" s="17" t="n"/>
      <c r="S32" s="17" t="n"/>
      <c r="T32" s="17" t="n"/>
      <c r="U32" s="17" t="n"/>
      <c r="V32" s="17" t="n"/>
      <c r="W32" s="17" t="n"/>
      <c r="X32" s="17" t="n"/>
      <c r="Y32" s="17" t="n"/>
      <c r="Z32" s="17" t="n"/>
    </row>
    <row r="33" ht="43.5" customHeight="1" s="15">
      <c r="A33" s="17" t="inlineStr">
        <is>
          <t>G1-028</t>
        </is>
      </c>
      <c r="B33" s="27" t="inlineStr">
        <is>
          <t>Template runtime</t>
        </is>
      </c>
      <c r="C33" s="27" t="inlineStr">
        <is>
          <t>Use one compiler and registered renderer adapters.</t>
        </is>
      </c>
      <c r="D33" s="27" t="inlineStr">
        <is>
          <t>Canonical parity for fixture/production; exact adapter/version compatibility.</t>
        </is>
      </c>
      <c r="E33" s="27" t="inlineStr">
        <is>
          <t>Technical identities remain collapsed; routine failure copy is direct.</t>
        </is>
      </c>
      <c r="F33" s="27" t="inlineStr">
        <is>
          <t>STD-TPL-001 v0.13 / STD-TPL-IMP-001 v1.1</t>
        </is>
      </c>
      <c r="G33" s="27" t="inlineStr">
        <is>
          <t>Mixed approved/proposed</t>
        </is>
      </c>
      <c r="H33" s="27" t="inlineStr">
        <is>
          <t>Yes</t>
        </is>
      </c>
      <c r="I33" s="27" t="inlineStr">
        <is>
          <t>Not started</t>
        </is>
      </c>
      <c r="J33" s="27" t="inlineStr">
        <is>
          <t>Not started</t>
        </is>
      </c>
      <c r="K33" s="27" t="n"/>
      <c r="L33" s="17" t="n"/>
      <c r="M33" s="17" t="n"/>
      <c r="N33" s="17" t="n"/>
      <c r="O33" s="17" t="n"/>
      <c r="P33" s="17" t="n"/>
      <c r="Q33" s="17" t="n"/>
      <c r="R33" s="17" t="n"/>
      <c r="S33" s="17" t="n"/>
      <c r="T33" s="17" t="n"/>
      <c r="U33" s="17" t="n"/>
      <c r="V33" s="17" t="n"/>
      <c r="W33" s="17" t="n"/>
      <c r="X33" s="17" t="n"/>
      <c r="Y33" s="17" t="n"/>
      <c r="Z33" s="17" t="n"/>
    </row>
    <row r="34" ht="43.5" customHeight="1" s="15">
      <c r="A34" s="17" t="inlineStr">
        <is>
          <t>G1-029</t>
        </is>
      </c>
      <c r="B34" s="27" t="inlineStr">
        <is>
          <t>Tenders</t>
        </is>
      </c>
      <c r="C34" s="27" t="inlineStr">
        <is>
          <t>Enforce Superseded release continuation without rebinding.</t>
        </is>
      </c>
      <c r="D34" s="27" t="inlineStr">
        <is>
          <t>Only already-bound unpublished Tenders with passing integrity/adapters continue.</t>
        </is>
      </c>
      <c r="E34" s="27" t="inlineStr">
        <is>
          <t>Show successor notice and preserved exact release.</t>
        </is>
      </c>
      <c r="F34" s="27" t="inlineStr">
        <is>
          <t>TPR-CHG-001 v0.13 / STD-TPL-001 v0.13</t>
        </is>
      </c>
      <c r="G34" s="27" t="inlineStr">
        <is>
          <t>Approved requirement</t>
        </is>
      </c>
      <c r="H34" s="27" t="inlineStr">
        <is>
          <t>Yes</t>
        </is>
      </c>
      <c r="I34" s="27" t="inlineStr">
        <is>
          <t>Not started</t>
        </is>
      </c>
      <c r="J34" s="27" t="inlineStr">
        <is>
          <t>Not started</t>
        </is>
      </c>
      <c r="K34" s="27" t="n"/>
      <c r="L34" s="17" t="n"/>
      <c r="M34" s="17" t="n"/>
      <c r="N34" s="17" t="n"/>
      <c r="O34" s="17" t="n"/>
      <c r="P34" s="17" t="n"/>
      <c r="Q34" s="17" t="n"/>
      <c r="R34" s="17" t="n"/>
      <c r="S34" s="17" t="n"/>
      <c r="T34" s="17" t="n"/>
      <c r="U34" s="17" t="n"/>
      <c r="V34" s="17" t="n"/>
      <c r="W34" s="17" t="n"/>
      <c r="X34" s="17" t="n"/>
      <c r="Y34" s="17" t="n"/>
      <c r="Z34" s="17" t="n"/>
    </row>
    <row r="35" ht="43.5" customHeight="1" s="15">
      <c r="A35" s="17" t="inlineStr">
        <is>
          <t>G1-030</t>
        </is>
      </c>
      <c r="B35" s="27" t="inlineStr">
        <is>
          <t>Tenders</t>
        </is>
      </c>
      <c r="C35" s="27" t="inlineStr">
        <is>
          <t>Block unpublished continuation on Withdrawn release.</t>
        </is>
      </c>
      <c r="D35" s="27" t="inlineStr">
        <is>
          <t>Block submit/approve/publish/addendum/Bid start; preserve published history.</t>
        </is>
      </c>
      <c r="E35" s="27" t="inlineStr">
        <is>
          <t>Direct reason, release link and governed next step.</t>
        </is>
      </c>
      <c r="F35" s="27" t="inlineStr">
        <is>
          <t>TPR-CHG-001 v0.13 / STD-TPL-001 v0.13</t>
        </is>
      </c>
      <c r="G35" s="27" t="inlineStr">
        <is>
          <t>Approved requirement</t>
        </is>
      </c>
      <c r="H35" s="27" t="inlineStr">
        <is>
          <t>Yes</t>
        </is>
      </c>
      <c r="I35" s="27" t="inlineStr">
        <is>
          <t>Not started</t>
        </is>
      </c>
      <c r="J35" s="27" t="inlineStr">
        <is>
          <t>Not started</t>
        </is>
      </c>
      <c r="K35" s="27" t="n"/>
      <c r="L35" s="17" t="n"/>
      <c r="M35" s="17" t="n"/>
      <c r="N35" s="17" t="n"/>
      <c r="O35" s="17" t="n"/>
      <c r="P35" s="17" t="n"/>
      <c r="Q35" s="17" t="n"/>
      <c r="R35" s="17" t="n"/>
      <c r="S35" s="17" t="n"/>
      <c r="T35" s="17" t="n"/>
      <c r="U35" s="17" t="n"/>
      <c r="V35" s="17" t="n"/>
      <c r="W35" s="17" t="n"/>
      <c r="X35" s="17" t="n"/>
      <c r="Y35" s="17" t="n"/>
      <c r="Z35" s="17" t="n"/>
    </row>
    <row r="36" ht="43.5" customHeight="1" s="15">
      <c r="A36" s="17" t="inlineStr">
        <is>
          <t>RES-001</t>
        </is>
      </c>
      <c r="B36" s="27" t="inlineStr">
        <is>
          <t>Procurement Planning</t>
        </is>
      </c>
      <c r="C36" s="27" t="inlineStr">
        <is>
          <t>Compute reservation target from eligible current complete APP value.</t>
        </is>
      </c>
      <c r="D36" s="27" t="inlineStr">
        <is>
          <t>Version denominator and included/excluded item evidence.</t>
        </is>
      </c>
      <c r="E36" s="27" t="inlineStr">
        <is>
          <t>Show target, planned qualifying value and gap in plain language.</t>
        </is>
      </c>
      <c r="F36" s="27" t="inlineStr">
        <is>
          <t>PLN-CHG-001 v1.27 / LAW-REG-001 v1.2</t>
        </is>
      </c>
      <c r="G36" s="27" t="inlineStr">
        <is>
          <t>Approved requirement</t>
        </is>
      </c>
      <c r="H36" s="27" t="inlineStr">
        <is>
          <t>Yes</t>
        </is>
      </c>
      <c r="I36" s="27" t="inlineStr">
        <is>
          <t>Not started</t>
        </is>
      </c>
      <c r="J36" s="27" t="inlineStr">
        <is>
          <t>Not started</t>
        </is>
      </c>
      <c r="K36" s="27" t="n"/>
      <c r="L36" s="17" t="n"/>
      <c r="M36" s="17" t="n"/>
      <c r="N36" s="17" t="n"/>
      <c r="O36" s="17" t="n"/>
      <c r="P36" s="17" t="n"/>
      <c r="Q36" s="17" t="n"/>
      <c r="R36" s="17" t="n"/>
      <c r="S36" s="17" t="n"/>
      <c r="T36" s="17" t="n"/>
      <c r="U36" s="17" t="n"/>
      <c r="V36" s="17" t="n"/>
      <c r="W36" s="17" t="n"/>
      <c r="X36" s="17" t="n"/>
      <c r="Y36" s="17" t="n"/>
      <c r="Z36" s="17" t="n"/>
    </row>
    <row r="37" ht="43.5" customHeight="1" s="15">
      <c r="A37" s="17" t="inlineStr">
        <is>
          <t>RES-002</t>
        </is>
      </c>
      <c r="B37" s="27" t="inlineStr">
        <is>
          <t>Budget and Funding</t>
        </is>
      </c>
      <c r="C37" s="27" t="inlineStr">
        <is>
          <t>Remove any annual reservation-denominator control or API.</t>
        </is>
      </c>
      <c r="D37" s="27" t="inlineStr">
        <is>
          <t>Retain ceilings and affordability only.</t>
        </is>
      </c>
      <c r="E37" s="27" t="inlineStr">
        <is>
          <t>No user-entered 30% base in Budget.</t>
        </is>
      </c>
      <c r="F37" s="27" t="inlineStr">
        <is>
          <t>BUD-CHG-001 v1.11</t>
        </is>
      </c>
      <c r="G37" s="27" t="inlineStr">
        <is>
          <t>Approved requirement</t>
        </is>
      </c>
      <c r="H37" s="27" t="inlineStr">
        <is>
          <t>No</t>
        </is>
      </c>
      <c r="I37" s="27" t="inlineStr">
        <is>
          <t>Not started</t>
        </is>
      </c>
      <c r="J37" s="27" t="inlineStr">
        <is>
          <t>Not started</t>
        </is>
      </c>
      <c r="K37" s="27" t="n"/>
      <c r="L37" s="17" t="n"/>
      <c r="M37" s="17" t="n"/>
      <c r="N37" s="17" t="n"/>
      <c r="O37" s="17" t="n"/>
      <c r="P37" s="17" t="n"/>
      <c r="Q37" s="17" t="n"/>
      <c r="R37" s="17" t="n"/>
      <c r="S37" s="17" t="n"/>
      <c r="T37" s="17" t="n"/>
      <c r="U37" s="17" t="n"/>
      <c r="V37" s="17" t="n"/>
      <c r="W37" s="17" t="n"/>
      <c r="X37" s="17" t="n"/>
      <c r="Y37" s="17" t="n"/>
      <c r="Z37" s="17" t="n"/>
    </row>
    <row r="38" ht="43.5" customHeight="1" s="15">
      <c r="A38" s="17" t="inlineStr">
        <is>
          <t>RES-003</t>
        </is>
      </c>
      <c r="B38" s="27" t="inlineStr">
        <is>
          <t>Planning and Setup</t>
        </is>
      </c>
      <c r="C38" s="27" t="inlineStr">
        <is>
          <t>Separate national reservation designation from county-resident treatment.</t>
        </is>
      </c>
      <c r="D38" s="27" t="inlineStr">
        <is>
          <t>Independent rules, flags, outcomes and reports.</t>
        </is>
      </c>
      <c r="E38" s="27" t="inlineStr">
        <is>
          <t>Distinct labels and explanations.</t>
        </is>
      </c>
      <c r="F38" s="27" t="inlineStr">
        <is>
          <t>PLN-CHG-001 v1.27 / CFG-CHG-002 v0.16</t>
        </is>
      </c>
      <c r="G38" s="27" t="inlineStr">
        <is>
          <t>Mixed approved/proposed</t>
        </is>
      </c>
      <c r="H38" s="27" t="inlineStr">
        <is>
          <t>Yes</t>
        </is>
      </c>
      <c r="I38" s="27" t="inlineStr">
        <is>
          <t>Not started</t>
        </is>
      </c>
      <c r="J38" s="27" t="inlineStr">
        <is>
          <t>Not started</t>
        </is>
      </c>
      <c r="K38" s="27" t="n"/>
      <c r="L38" s="17" t="n"/>
      <c r="M38" s="17" t="n"/>
      <c r="N38" s="17" t="n"/>
      <c r="O38" s="17" t="n"/>
      <c r="P38" s="17" t="n"/>
      <c r="Q38" s="17" t="n"/>
      <c r="R38" s="17" t="n"/>
      <c r="S38" s="17" t="n"/>
      <c r="T38" s="17" t="n"/>
      <c r="U38" s="17" t="n"/>
      <c r="V38" s="17" t="n"/>
      <c r="W38" s="17" t="n"/>
      <c r="X38" s="17" t="n"/>
      <c r="Y38" s="17" t="n"/>
      <c r="Z38" s="17" t="n"/>
    </row>
    <row r="39" ht="43.5" customHeight="1" s="15">
      <c r="A39" s="17" t="inlineStr">
        <is>
          <t>RES-004</t>
        </is>
      </c>
      <c r="B39" s="27" t="inlineStr">
        <is>
          <t>Requisition to Bid</t>
        </is>
      </c>
      <c r="C39" s="27" t="inlineStr">
        <is>
          <t>Carry exact reservation treatment downstream without recomputation.</t>
        </is>
      </c>
      <c r="D39" s="27" t="inlineStr">
        <is>
          <t>Preserve designation, basis, lots and applicable evidence.</t>
        </is>
      </c>
      <c r="E39" s="27" t="inlineStr">
        <is>
          <t>Show concise confirmed treatment with correction route.</t>
        </is>
      </c>
      <c r="F39" s="27" t="inlineStr">
        <is>
          <t>REQ-CHG-001 v1.12 / TPR-CHG-001 v0.13 / BDS-CHG-001 v0.8</t>
        </is>
      </c>
      <c r="G39" s="27" t="inlineStr">
        <is>
          <t>Approved requirement</t>
        </is>
      </c>
      <c r="H39" s="27" t="inlineStr">
        <is>
          <t>Yes</t>
        </is>
      </c>
      <c r="I39" s="27" t="inlineStr">
        <is>
          <t>Not started</t>
        </is>
      </c>
      <c r="J39" s="27" t="inlineStr">
        <is>
          <t>Not started</t>
        </is>
      </c>
      <c r="K39" s="27" t="n"/>
      <c r="L39" s="17" t="n"/>
      <c r="M39" s="17" t="n"/>
      <c r="N39" s="17" t="n"/>
      <c r="O39" s="17" t="n"/>
      <c r="P39" s="17" t="n"/>
      <c r="Q39" s="17" t="n"/>
      <c r="R39" s="17" t="n"/>
      <c r="S39" s="17" t="n"/>
      <c r="T39" s="17" t="n"/>
      <c r="U39" s="17" t="n"/>
      <c r="V39" s="17" t="n"/>
      <c r="W39" s="17" t="n"/>
      <c r="X39" s="17" t="n"/>
      <c r="Y39" s="17" t="n"/>
      <c r="Z39" s="17" t="n"/>
    </row>
    <row r="40" ht="43.5" customHeight="1" s="15">
      <c r="A40" s="17" t="inlineStr">
        <is>
          <t>RES-005</t>
        </is>
      </c>
      <c r="B40" s="27" t="inlineStr">
        <is>
          <t>Fixtures</t>
        </is>
      </c>
      <c r="C40" s="27" t="inlineStr">
        <is>
          <t>Update fixtures and arithmetic to the corrected denominator.</t>
        </is>
      </c>
      <c r="D40" s="27" t="inlineStr">
        <is>
          <t>One mathematically consistent APP, requisition, tender and bid chain.</t>
        </is>
      </c>
      <c r="E40" s="27" t="inlineStr">
        <is>
          <t>No contradictory reservation states across artboards.</t>
        </is>
      </c>
      <c r="F40" s="27" t="inlineStr">
        <is>
          <t>SEED-001 v1.3 / RES-IMP-001 v1.0</t>
        </is>
      </c>
      <c r="G40" s="27" t="inlineStr">
        <is>
          <t>Needs reconciliation</t>
        </is>
      </c>
      <c r="H40" s="27" t="inlineStr">
        <is>
          <t>Yes</t>
        </is>
      </c>
      <c r="I40" s="27" t="inlineStr">
        <is>
          <t>Not started</t>
        </is>
      </c>
      <c r="J40" s="27" t="inlineStr">
        <is>
          <t>Pending</t>
        </is>
      </c>
      <c r="K40" s="27" t="n"/>
      <c r="L40" s="17" t="n"/>
      <c r="M40" s="17" t="n"/>
      <c r="N40" s="17" t="n"/>
      <c r="O40" s="17" t="n"/>
      <c r="P40" s="17" t="n"/>
      <c r="Q40" s="17" t="n"/>
      <c r="R40" s="17" t="n"/>
      <c r="S40" s="17" t="n"/>
      <c r="T40" s="17" t="n"/>
      <c r="U40" s="17" t="n"/>
      <c r="V40" s="17" t="n"/>
      <c r="W40" s="17" t="n"/>
      <c r="X40" s="17" t="n"/>
      <c r="Y40" s="17" t="n"/>
      <c r="Z40" s="17" t="n"/>
    </row>
    <row r="41" ht="43.5" customHeight="1" s="15">
      <c r="A41" s="17" t="inlineStr">
        <is>
          <t>RES-006</t>
        </is>
      </c>
      <c r="B41" s="27" t="inlineStr">
        <is>
          <t>Implementation Correction</t>
        </is>
      </c>
      <c r="C41" s="27" t="inlineStr">
        <is>
          <t>Remove obsolete reservation fields, services, labels and tests.</t>
        </is>
      </c>
      <c r="D41" s="27" t="inlineStr">
        <is>
          <t>Migrate or retire old inputs safely.</t>
        </is>
      </c>
      <c r="E41" s="27" t="inlineStr">
        <is>
          <t>Simplify affected screens and supporting detail.</t>
        </is>
      </c>
      <c r="F41" s="27" t="inlineStr">
        <is>
          <t>RES-IMP-001 v1.0</t>
        </is>
      </c>
      <c r="G41" s="27" t="inlineStr">
        <is>
          <t>Approved requirement</t>
        </is>
      </c>
      <c r="H41" s="27" t="inlineStr">
        <is>
          <t>Yes</t>
        </is>
      </c>
      <c r="I41" s="27" t="inlineStr">
        <is>
          <t>Not started</t>
        </is>
      </c>
      <c r="J41" s="27" t="inlineStr">
        <is>
          <t>Not started</t>
        </is>
      </c>
      <c r="K41" s="27" t="n"/>
      <c r="L41" s="17" t="n"/>
      <c r="M41" s="17" t="n"/>
      <c r="N41" s="17" t="n"/>
      <c r="O41" s="17" t="n"/>
      <c r="P41" s="17" t="n"/>
      <c r="Q41" s="17" t="n"/>
      <c r="R41" s="17" t="n"/>
      <c r="S41" s="17" t="n"/>
      <c r="T41" s="17" t="n"/>
      <c r="U41" s="17" t="n"/>
      <c r="V41" s="17" t="n"/>
      <c r="W41" s="17" t="n"/>
      <c r="X41" s="17" t="n"/>
      <c r="Y41" s="17" t="n"/>
      <c r="Z41" s="17" t="n"/>
    </row>
    <row r="42" ht="43.5" customHeight="1" s="15">
      <c r="A42" s="17" t="inlineStr">
        <is>
          <t>WF-001</t>
        </is>
      </c>
      <c r="B42" s="27" t="inlineStr">
        <is>
          <t>Shared workflow</t>
        </is>
      </c>
      <c r="C42" s="27" t="inlineStr">
        <is>
          <t>Implement the server-produced next-step response and explicit guard reasons.</t>
        </is>
      </c>
      <c r="D42" s="27" t="inlineStr">
        <is>
          <t>Return exactly one actionable, waiting, blocked-with-remedy or completed outcome for each supported persona and record state.</t>
        </is>
      </c>
      <c r="E42" s="27" t="inlineStr">
        <is>
          <t>Use one concise next-step block with owner, explanation and direct action where authorised.</t>
        </is>
      </c>
      <c r="F42" s="27" t="inlineStr">
        <is>
          <t>KT-STD-001 v1.9 / current module document</t>
        </is>
      </c>
      <c r="G42" s="27" t="inlineStr">
        <is>
          <t>Approved requirement</t>
        </is>
      </c>
      <c r="H42" s="27" t="inlineStr">
        <is>
          <t>Yes</t>
        </is>
      </c>
      <c r="I42" s="27" t="inlineStr">
        <is>
          <t>Not started</t>
        </is>
      </c>
      <c r="J42" s="27" t="inlineStr">
        <is>
          <t>Not started</t>
        </is>
      </c>
      <c r="K42" s="27" t="n"/>
      <c r="L42" s="17" t="n"/>
      <c r="M42" s="17" t="n"/>
      <c r="N42" s="17" t="n"/>
      <c r="O42" s="17" t="n"/>
      <c r="P42" s="17" t="n"/>
      <c r="Q42" s="17" t="n"/>
      <c r="R42" s="17" t="n"/>
      <c r="S42" s="17" t="n"/>
      <c r="T42" s="17" t="n"/>
      <c r="U42" s="17" t="n"/>
      <c r="V42" s="17" t="n"/>
      <c r="W42" s="17" t="n"/>
      <c r="X42" s="17" t="n"/>
      <c r="Y42" s="17" t="n"/>
      <c r="Z42" s="17" t="n"/>
    </row>
    <row r="43" ht="43.5" customHeight="1" s="15">
      <c r="A43" s="17" t="inlineStr">
        <is>
          <t>WF-002</t>
        </is>
      </c>
      <c r="B43" s="27" t="inlineStr">
        <is>
          <t>Integrated Verification</t>
        </is>
      </c>
      <c r="C43" s="27" t="inlineStr">
        <is>
          <t>Automate the no-dead-end conformance test.</t>
        </is>
      </c>
      <c r="D43" s="27" t="inlineStr">
        <is>
          <t>Enumerate supported persona/state pairs and fail any state lacking a valid next-step outcome.</t>
        </is>
      </c>
      <c r="E43" s="27" t="inlineStr">
        <is>
          <t>Verify that copy identifies the next actor and correction route without internal jargon.</t>
        </is>
      </c>
      <c r="F43" s="27" t="inlineStr">
        <is>
          <t>KT-STD-001 v1.9</t>
        </is>
      </c>
      <c r="G43" s="27" t="inlineStr">
        <is>
          <t>Approved requirement</t>
        </is>
      </c>
      <c r="H43" s="27" t="inlineStr">
        <is>
          <t>Yes</t>
        </is>
      </c>
      <c r="I43" s="27" t="inlineStr">
        <is>
          <t>Not started</t>
        </is>
      </c>
      <c r="J43" s="27" t="inlineStr">
        <is>
          <t>Not started</t>
        </is>
      </c>
      <c r="K43" s="27" t="n"/>
      <c r="L43" s="17" t="n"/>
      <c r="M43" s="17" t="n"/>
      <c r="N43" s="17" t="n"/>
      <c r="O43" s="17" t="n"/>
      <c r="P43" s="17" t="n"/>
      <c r="Q43" s="17" t="n"/>
      <c r="R43" s="17" t="n"/>
      <c r="S43" s="17" t="n"/>
      <c r="T43" s="17" t="n"/>
      <c r="U43" s="17" t="n"/>
      <c r="V43" s="17" t="n"/>
      <c r="W43" s="17" t="n"/>
      <c r="X43" s="17" t="n"/>
      <c r="Y43" s="17" t="n"/>
      <c r="Z43" s="17" t="n"/>
    </row>
    <row r="44" ht="43.5" customHeight="1" s="15">
      <c r="A44" s="17" t="inlineStr">
        <is>
          <t>WF-003</t>
        </is>
      </c>
      <c r="B44" s="27" t="inlineStr">
        <is>
          <t>My Work and hand-offs</t>
        </is>
      </c>
      <c r="C44" s="27" t="inlineStr">
        <is>
          <t>Create the complete hand-off register and consume it in My Work, waiting views and notifications.</t>
        </is>
      </c>
      <c r="D44" s="27" t="inlineStr">
        <is>
          <t>Cover every cross-role and cross-module hand-off with stable identity, ownership and lifecycle.</t>
        </is>
      </c>
      <c r="E44" s="27" t="inlineStr">
        <is>
          <t>Show work requiring action separately from items waiting on another responsibility.</t>
        </is>
      </c>
      <c r="F44" s="27" t="inlineStr">
        <is>
          <t>KT-STD-001 v1.9 / PLN-CHG-001 v1.27 / BUD-CHG-001 v1.11 / REQ-CHG-001 v1.12</t>
        </is>
      </c>
      <c r="G44" s="27" t="inlineStr">
        <is>
          <t>Approved requirement</t>
        </is>
      </c>
      <c r="H44" s="27" t="inlineStr">
        <is>
          <t>Yes</t>
        </is>
      </c>
      <c r="I44" s="27" t="inlineStr">
        <is>
          <t>Not started</t>
        </is>
      </c>
      <c r="J44" s="27" t="inlineStr">
        <is>
          <t>Not started</t>
        </is>
      </c>
      <c r="K44" s="27" t="n"/>
      <c r="L44" s="17" t="n"/>
      <c r="M44" s="17" t="n"/>
      <c r="N44" s="17" t="n"/>
      <c r="O44" s="17" t="n"/>
      <c r="P44" s="17" t="n"/>
      <c r="Q44" s="17" t="n"/>
      <c r="R44" s="17" t="n"/>
      <c r="S44" s="17" t="n"/>
      <c r="T44" s="17" t="n"/>
      <c r="U44" s="17" t="n"/>
      <c r="V44" s="17" t="n"/>
      <c r="W44" s="17" t="n"/>
      <c r="X44" s="17" t="n"/>
      <c r="Y44" s="17" t="n"/>
      <c r="Z44" s="17" t="n"/>
    </row>
    <row r="45" ht="43.5" customHeight="1" s="15">
      <c r="A45" s="17" t="inlineStr">
        <is>
          <t>WF-004</t>
        </is>
      </c>
      <c r="B45" s="27" t="inlineStr">
        <is>
          <t>Journey orientation</t>
        </is>
      </c>
      <c r="C45" s="27" t="inlineStr">
        <is>
          <t>Add the restrained journey tracker and useful Home orientation.</t>
        </is>
      </c>
      <c r="D45" s="27" t="inlineStr">
        <is>
          <t>Derive stage and next-step context from authoritative workflow and hand-off state.</t>
        </is>
      </c>
      <c r="E45" s="27" t="inlineStr">
        <is>
          <t>Orient users without duplicating status, exposing internal machinery or overwhelming the primary task.</t>
        </is>
      </c>
      <c r="F45" s="27" t="inlineStr">
        <is>
          <t>KT-STD-001 v1.9 / current module document</t>
        </is>
      </c>
      <c r="G45" s="27" t="inlineStr">
        <is>
          <t>Approved requirement</t>
        </is>
      </c>
      <c r="H45" s="27" t="inlineStr">
        <is>
          <t>No</t>
        </is>
      </c>
      <c r="I45" s="27" t="inlineStr">
        <is>
          <t>Not started</t>
        </is>
      </c>
      <c r="J45" s="27" t="inlineStr">
        <is>
          <t>Not started</t>
        </is>
      </c>
      <c r="K45" s="27" t="n"/>
      <c r="L45" s="17" t="n"/>
      <c r="M45" s="17" t="n"/>
      <c r="N45" s="17" t="n"/>
      <c r="O45" s="17" t="n"/>
      <c r="P45" s="17" t="n"/>
      <c r="Q45" s="17" t="n"/>
      <c r="R45" s="17" t="n"/>
      <c r="S45" s="17" t="n"/>
      <c r="T45" s="17" t="n"/>
      <c r="U45" s="17" t="n"/>
      <c r="V45" s="17" t="n"/>
      <c r="W45" s="17" t="n"/>
      <c r="X45" s="17" t="n"/>
      <c r="Y45" s="17" t="n"/>
      <c r="Z45" s="17" t="n"/>
    </row>
    <row r="46" ht="43.5" customHeight="1" s="15">
      <c r="A46" s="17" t="inlineStr">
        <is>
          <t>PLN-027-001</t>
        </is>
      </c>
      <c r="B46" s="27" t="inlineStr">
        <is>
          <t>Procurement Planning</t>
        </is>
      </c>
      <c r="C46" s="27" t="inlineStr">
        <is>
          <t>Implement the corrected blocker matrix and funding-confirmation route.</t>
        </is>
      </c>
      <c r="D46" s="27" t="inlineStr">
        <is>
          <t>Over-budget and missing-method conditions block Request plan funding confirmation; reservation shortfall blocks only Sign and submit Annual Plan.</t>
        </is>
      </c>
      <c r="E46" s="27" t="inlineStr">
        <is>
          <t>Name the affected action, reason, responsible role and direct correction route.</t>
        </is>
      </c>
      <c r="F46" s="27" t="inlineStr">
        <is>
          <t>PLN-CHG-001 v1.27</t>
        </is>
      </c>
      <c r="G46" s="27" t="inlineStr">
        <is>
          <t>Approved requirement</t>
        </is>
      </c>
      <c r="H46" s="27" t="inlineStr">
        <is>
          <t>Yes</t>
        </is>
      </c>
      <c r="I46" s="27" t="inlineStr">
        <is>
          <t>Not started</t>
        </is>
      </c>
      <c r="J46" s="27" t="inlineStr">
        <is>
          <t>Not started</t>
        </is>
      </c>
      <c r="K46" s="27" t="n"/>
      <c r="L46" s="17" t="n"/>
      <c r="M46" s="17" t="n"/>
      <c r="N46" s="17" t="n"/>
      <c r="O46" s="17" t="n"/>
      <c r="P46" s="17" t="n"/>
      <c r="Q46" s="17" t="n"/>
      <c r="R46" s="17" t="n"/>
      <c r="S46" s="17" t="n"/>
      <c r="T46" s="17" t="n"/>
      <c r="U46" s="17" t="n"/>
      <c r="V46" s="17" t="n"/>
      <c r="W46" s="17" t="n"/>
      <c r="X46" s="17" t="n"/>
      <c r="Y46" s="17" t="n"/>
      <c r="Z46" s="17" t="n"/>
    </row>
    <row r="47" ht="43.5" customHeight="1" s="15">
      <c r="A47" s="17" t="inlineStr">
        <is>
          <t>PLN-027-002</t>
        </is>
      </c>
      <c r="B47" s="27" t="inlineStr">
        <is>
          <t>Planning to Budget</t>
        </is>
      </c>
      <c r="C47" s="27" t="inlineStr">
        <is>
          <t>Implement the Planning budget revision request aggregate and hand-off.</t>
        </is>
      </c>
      <c r="D47" s="27" t="inlineStr">
        <is>
          <t>Create, send and track the immutable request without changing amounts, reservations or approvals.</t>
        </is>
      </c>
      <c r="E47" s="27" t="inlineStr">
        <is>
          <t>Show requested outcome, reason, Budget owner and returned outcome in plain language.</t>
        </is>
      </c>
      <c r="F47" s="27" t="inlineStr">
        <is>
          <t>PLN-CHG-001 v1.27 / BUD-CHG-001 v1.11</t>
        </is>
      </c>
      <c r="G47" s="27" t="inlineStr">
        <is>
          <t>Approved requirement</t>
        </is>
      </c>
      <c r="H47" s="27" t="inlineStr">
        <is>
          <t>Yes</t>
        </is>
      </c>
      <c r="I47" s="27" t="inlineStr">
        <is>
          <t>Not started</t>
        </is>
      </c>
      <c r="J47" s="27" t="inlineStr">
        <is>
          <t>Not started</t>
        </is>
      </c>
      <c r="K47" s="27" t="n"/>
      <c r="L47" s="17" t="n"/>
      <c r="M47" s="17" t="n"/>
      <c r="N47" s="17" t="n"/>
      <c r="O47" s="17" t="n"/>
      <c r="P47" s="17" t="n"/>
      <c r="Q47" s="17" t="n"/>
      <c r="R47" s="17" t="n"/>
      <c r="S47" s="17" t="n"/>
      <c r="T47" s="17" t="n"/>
      <c r="U47" s="17" t="n"/>
      <c r="V47" s="17" t="n"/>
      <c r="W47" s="17" t="n"/>
      <c r="X47" s="17" t="n"/>
      <c r="Y47" s="17" t="n"/>
      <c r="Z47" s="17" t="n"/>
    </row>
    <row r="48" ht="43.5" customHeight="1" s="15">
      <c r="A48" s="17" t="inlineStr">
        <is>
          <t>BUD-011-001</t>
        </is>
      </c>
      <c r="B48" s="27" t="inlineStr">
        <is>
          <t>Budget and Funding</t>
        </is>
      </c>
      <c r="C48" s="27" t="inlineStr">
        <is>
          <t>Implement the Budget-owned receiving side of Planning budget revision requests.</t>
        </is>
      </c>
      <c r="D48" s="27" t="inlineStr">
        <is>
          <t>Receive, decline, withdraw, register successor allocation evidence and return the outcome to Planning.</t>
        </is>
      </c>
      <c r="E48" s="27" t="inlineStr">
        <is>
          <t>Keep the request distinct from the budget revision itself and clearly identify the next responsible user.</t>
        </is>
      </c>
      <c r="F48" s="27" t="inlineStr">
        <is>
          <t>BUD-CHG-001 v1.11 / PLN-CHG-001 v1.27</t>
        </is>
      </c>
      <c r="G48" s="27" t="inlineStr">
        <is>
          <t>Approved requirement</t>
        </is>
      </c>
      <c r="H48" s="27" t="inlineStr">
        <is>
          <t>Yes</t>
        </is>
      </c>
      <c r="I48" s="27" t="inlineStr">
        <is>
          <t>Not started</t>
        </is>
      </c>
      <c r="J48" s="27" t="inlineStr">
        <is>
          <t>Not started</t>
        </is>
      </c>
      <c r="K48" s="27" t="n"/>
      <c r="L48" s="17" t="n"/>
      <c r="M48" s="17" t="n"/>
      <c r="N48" s="17" t="n"/>
      <c r="O48" s="17" t="n"/>
      <c r="P48" s="17" t="n"/>
      <c r="Q48" s="17" t="n"/>
      <c r="R48" s="17" t="n"/>
      <c r="S48" s="17" t="n"/>
      <c r="T48" s="17" t="n"/>
      <c r="U48" s="17" t="n"/>
      <c r="V48" s="17" t="n"/>
      <c r="W48" s="17" t="n"/>
      <c r="X48" s="17" t="n"/>
      <c r="Y48" s="17" t="n"/>
      <c r="Z48" s="17" t="n"/>
    </row>
    <row r="49" ht="43.5" customHeight="1" s="15">
      <c r="A49" s="17" t="inlineStr">
        <is>
          <t>REQ-012-001</t>
        </is>
      </c>
      <c r="B49" s="27" t="inlineStr">
        <is>
          <t>Procurement Requisitions</t>
        </is>
      </c>
      <c r="C49" s="27" t="inlineStr">
        <is>
          <t>Create the REQ-owned Purchase ready for requisition item when a plan is activated.</t>
        </is>
      </c>
      <c r="D49" s="27" t="inlineStr">
        <is>
          <t>Use the existing requisition aggregate and Ready to start lifecycle with no new role, state, command or approval stage.</t>
        </is>
      </c>
      <c r="E49" s="27" t="inlineStr">
        <is>
          <t>Show the item in the existing workspace and start the requisition directly.</t>
        </is>
      </c>
      <c r="F49" s="27" t="inlineStr">
        <is>
          <t>REQ-CHG-001 v1.12 / PLN-CHG-001 v1.27</t>
        </is>
      </c>
      <c r="G49" s="27" t="inlineStr">
        <is>
          <t>Approved requirement</t>
        </is>
      </c>
      <c r="H49" s="27" t="inlineStr">
        <is>
          <t>Yes</t>
        </is>
      </c>
      <c r="I49" s="27" t="inlineStr">
        <is>
          <t>Not started</t>
        </is>
      </c>
      <c r="J49" s="27" t="inlineStr">
        <is>
          <t>Not started</t>
        </is>
      </c>
      <c r="K49" s="27" t="n"/>
      <c r="L49" s="17" t="n"/>
      <c r="M49" s="17" t="n"/>
      <c r="N49" s="17" t="n"/>
      <c r="O49" s="17" t="n"/>
      <c r="P49" s="17" t="n"/>
      <c r="Q49" s="17" t="n"/>
      <c r="R49" s="17" t="n"/>
      <c r="S49" s="17" t="n"/>
      <c r="T49" s="17" t="n"/>
      <c r="U49" s="17" t="n"/>
      <c r="V49" s="17" t="n"/>
      <c r="W49" s="17" t="n"/>
      <c r="X49" s="17" t="n"/>
      <c r="Y49" s="17" t="n"/>
      <c r="Z49" s="17" t="n"/>
    </row>
    <row r="50" ht="43.5" customHeight="1" s="15">
      <c r="A50" s="17" t="inlineStr">
        <is>
          <t>TRUST-001</t>
        </is>
      </c>
      <c r="B50" s="27" t="inlineStr">
        <is>
          <t>Shared Trust Infrastructure</t>
        </is>
      </c>
      <c r="C50" s="27" t="inlineStr">
        <is>
          <t>Build synthetic signing/custody test adapters and later a separately approved production support module.</t>
        </is>
      </c>
      <c r="D50" s="27" t="inlineStr">
        <is>
          <t>Preserve exact-target member evidence, sealed receipts and BOP ordered reveal API; then integrate licensed provider, external keys, independent multi-person release and recovery.</t>
        </is>
      </c>
      <c r="E50" s="27" t="inlineStr">
        <is>
          <t>Keep ordinary approvals and statutory signatures distinct; label test attestations/receipts and hide production submission/opening actions.</t>
        </is>
      </c>
      <c r="F50" s="27" t="inlineStr">
        <is>
          <t>TRUST-ADR-001 v0.1 / BDS-CHG-001 v0.8 / BOP-CHG-001 v0.10 proposed / PRC-CHG-001 v0.9 proposed</t>
        </is>
      </c>
      <c r="G50" s="27" t="inlineStr">
        <is>
          <t>Approved requirement</t>
        </is>
      </c>
      <c r="H50" s="27" t="inlineStr">
        <is>
          <t>Yes</t>
        </is>
      </c>
      <c r="I50" s="27" t="inlineStr">
        <is>
          <t>Not started</t>
        </is>
      </c>
      <c r="J50" s="27" t="inlineStr">
        <is>
          <t>Not started</t>
        </is>
      </c>
      <c r="K50" s="27" t="n"/>
      <c r="L50" s="17" t="n"/>
      <c r="M50" s="17" t="n"/>
      <c r="N50" s="17" t="n"/>
      <c r="O50" s="17" t="n"/>
      <c r="P50" s="17" t="n"/>
      <c r="Q50" s="17" t="n"/>
      <c r="R50" s="17" t="n"/>
      <c r="S50" s="17" t="n"/>
      <c r="T50" s="17" t="n"/>
      <c r="U50" s="17" t="n"/>
      <c r="V50" s="17" t="n"/>
      <c r="W50" s="17" t="n"/>
      <c r="X50" s="17" t="n"/>
      <c r="Y50" s="17" t="n"/>
      <c r="Z50" s="17" t="n"/>
    </row>
    <row r="51" ht="43.5" customHeight="1" s="15">
      <c r="A51" s="17" t="inlineStr">
        <is>
          <t>G1-031</t>
        </is>
      </c>
      <c r="B51" s="27" t="inlineStr">
        <is>
          <t>Tenders / Bid Submission</t>
        </is>
      </c>
      <c r="C51" s="27" t="inlineStr">
        <is>
          <t>Apply approved published-Tender bound-release behavior after Supersession or Withdrawal.</t>
        </is>
      </c>
      <c r="D51" s="27" t="inlineStr">
        <is>
          <t>Allow already-bound published Tenders on a Superseded release to issue lawful addenda and accept Bid start/submission while exact checks pass; on Withdrawn block new start/addendum/submission/replacement but preserve reads, existing receipts and lawful pre-deadline withdrawal.</t>
        </is>
      </c>
      <c r="E51" s="27" t="inlineStr">
        <is>
          <t>Show truthful lifecycle notices and allowed next actions to internal and supplier users.</t>
        </is>
      </c>
      <c r="F51" s="27" t="inlineStr">
        <is>
          <t>TPR-CHG-001 v0.13 / BDS-CHG-001 v0.8</t>
        </is>
      </c>
      <c r="G51" s="27" t="inlineStr">
        <is>
          <t>Approved requirement</t>
        </is>
      </c>
      <c r="H51" s="27" t="inlineStr">
        <is>
          <t>Yes</t>
        </is>
      </c>
      <c r="I51" s="27" t="inlineStr">
        <is>
          <t>Not started</t>
        </is>
      </c>
      <c r="J51" s="27" t="inlineStr">
        <is>
          <t>Not started</t>
        </is>
      </c>
      <c r="K51" s="27" t="n"/>
      <c r="L51" s="17" t="n"/>
      <c r="M51" s="17" t="n"/>
      <c r="N51" s="17" t="n"/>
      <c r="O51" s="17" t="n"/>
      <c r="P51" s="17" t="n"/>
      <c r="Q51" s="17" t="n"/>
      <c r="R51" s="17" t="n"/>
      <c r="S51" s="17" t="n"/>
      <c r="T51" s="17" t="n"/>
      <c r="U51" s="17" t="n"/>
      <c r="V51" s="17" t="n"/>
      <c r="W51" s="17" t="n"/>
      <c r="X51" s="17" t="n"/>
      <c r="Y51" s="17" t="n"/>
      <c r="Z51" s="17" t="n"/>
    </row>
    <row r="52" ht="43.5" customHeight="1" s="15">
      <c r="A52" s="17" t="inlineStr">
        <is>
          <t>AWD-001</t>
        </is>
      </c>
      <c r="B52" s="27" t="inlineStr">
        <is>
          <t>Award</t>
        </is>
      </c>
      <c r="C52" s="27" t="inlineStr">
        <is>
          <t>Reconcile the reported Award development build with proposed v0.4 and complete its owner contracts and acceptance tests.</t>
        </is>
      </c>
      <c r="D52" s="27" t="inlineStr">
        <is>
          <t>Exact Evaluation receipt; signed HOP opinion; AO decision and notices; supplier response; legal waits/restrictions; durable Contracting receipt.</t>
        </is>
      </c>
      <c r="E52" s="27" t="inlineStr">
        <is>
          <t>Plain task-led record and supplier notice; no repeated evaluation or extra notice/delivery approval.</t>
        </is>
      </c>
      <c r="F52" s="27" t="inlineStr">
        <is>
          <t>AWD-CHG-001 v0.4</t>
        </is>
      </c>
      <c r="G52" s="27" t="inlineStr">
        <is>
          <t>Approved requirement</t>
        </is>
      </c>
      <c r="H52" s="27" t="inlineStr">
        <is>
          <t>Yes</t>
        </is>
      </c>
      <c r="I52" s="27" t="inlineStr">
        <is>
          <t>In progress</t>
        </is>
      </c>
      <c r="J52" s="27" t="inlineStr">
        <is>
          <t>Pending</t>
        </is>
      </c>
      <c r="K52" s="27" t="inlineStr">
        <is>
          <t>SEED-OPS v1.18 reports Award built under plan decision OD-A “Build now, amend later”; the plan and full acceptance results were not supplied. AWD-AC-001–031 remain required tests, not executed evidence.</t>
        </is>
      </c>
      <c r="L52" s="17" t="n"/>
      <c r="M52" s="17" t="n"/>
      <c r="N52" s="17" t="n"/>
      <c r="O52" s="17" t="n"/>
      <c r="P52" s="17" t="n"/>
      <c r="Q52" s="17" t="n"/>
      <c r="R52" s="17" t="n"/>
      <c r="S52" s="17" t="n"/>
      <c r="T52" s="17" t="n"/>
      <c r="U52" s="17" t="n"/>
      <c r="V52" s="17" t="n"/>
      <c r="W52" s="17" t="n"/>
      <c r="X52" s="17" t="n"/>
      <c r="Y52" s="17" t="n"/>
      <c r="Z52" s="17" t="n"/>
    </row>
    <row r="53" ht="43.5" customHeight="1" s="15">
      <c r="A53" s="17" t="inlineStr">
        <is>
          <t>G1-032</t>
        </is>
      </c>
      <c r="B53" s="27" t="inlineStr">
        <is>
          <t>STD Templates</t>
        </is>
      </c>
      <c r="C53" s="27" t="inlineStr">
        <is>
          <t>Issue an IT Equipment template release with official conflict-of-interest wording and per-item details (questionnaire Part A, item 9 treatment) and release-validator checks 22 and 23.</t>
        </is>
      </c>
      <c r="D53" s="27" t="inlineStr">
        <is>
          <t>Nine conflict items carry digest-checked official wording and their own conditional details; item 9 shown only when item 7 or 8 is Yes; validator fails missing item wording and unrecorded table collapse.</t>
        </is>
      </c>
      <c r="E53" s="27" t="inlineStr">
        <is>
          <t>Supplier and evaluator see the conflict wording; no portal change.</t>
        </is>
      </c>
      <c r="F53" s="27" t="inlineStr">
        <is>
          <t>STD-TPL-001 successor for Part A (not yet drafted) / STD-TPL-001 proposed v0.14</t>
        </is>
      </c>
      <c r="G53" s="27" t="inlineStr">
        <is>
          <t>Draft</t>
        </is>
      </c>
      <c r="H53" s="27" t="inlineStr">
        <is>
          <t>Yes</t>
        </is>
      </c>
      <c r="I53" s="27" t="inlineStr">
        <is>
          <t>Not started</t>
        </is>
      </c>
      <c r="J53" s="27" t="inlineStr">
        <is>
          <t>Not started</t>
        </is>
      </c>
      <c r="K53" s="27" t="n"/>
      <c r="L53" s="17" t="n"/>
      <c r="M53" s="17" t="n"/>
      <c r="N53" s="17" t="n"/>
      <c r="O53" s="17" t="n"/>
      <c r="P53" s="17" t="n"/>
      <c r="Q53" s="17" t="n"/>
      <c r="R53" s="17" t="n"/>
      <c r="S53" s="17" t="n"/>
      <c r="T53" s="17" t="n"/>
      <c r="U53" s="17" t="n"/>
      <c r="V53" s="17" t="n"/>
      <c r="W53" s="17" t="n"/>
      <c r="X53" s="17" t="n"/>
      <c r="Y53" s="17" t="n"/>
      <c r="Z53" s="17" t="n"/>
    </row>
    <row r="54" ht="43.5" customHeight="1" s="15">
      <c r="A54" s="17" t="inlineStr">
        <is>
          <t>G1-033</t>
        </is>
      </c>
      <c r="B54" s="27" t="inlineStr">
        <is>
          <t>STD Templates / Bid Workspace</t>
        </is>
      </c>
      <c r="C54" s="27" t="inlineStr">
        <is>
          <t>Add a bounded repeating row group for official tables (questionnaire Part B).</t>
        </is>
      </c>
      <c r="D54" s="27" t="inlineStr">
        <is>
          <t>Partners, directors and persons-with-interest tables captured as rows with named columns; new composition and renderer version.</t>
        </is>
      </c>
      <c r="E54" s="27" t="inlineStr">
        <is>
          <t>Repeating rows in the questionnaire drawer.</t>
        </is>
      </c>
      <c r="F54" s="27" t="inlineStr">
        <is>
          <t>STD-TPL-001 successor for Part B (not yet drafted; row count D4 undecided) / BDS-CHG-001 successor</t>
        </is>
      </c>
      <c r="G54" s="27" t="inlineStr">
        <is>
          <t>Draft</t>
        </is>
      </c>
      <c r="H54" s="27" t="inlineStr">
        <is>
          <t>Yes</t>
        </is>
      </c>
      <c r="I54" s="27" t="inlineStr">
        <is>
          <t>Not started</t>
        </is>
      </c>
      <c r="J54" s="27" t="inlineStr">
        <is>
          <t>Not started</t>
        </is>
      </c>
      <c r="K54" s="27" t="n"/>
      <c r="L54" s="17" t="n"/>
      <c r="M54" s="17" t="n"/>
      <c r="N54" s="17" t="n"/>
      <c r="O54" s="17" t="n"/>
      <c r="P54" s="17" t="n"/>
      <c r="Q54" s="17" t="n"/>
      <c r="R54" s="17" t="n"/>
      <c r="S54" s="17" t="n"/>
      <c r="T54" s="17" t="n"/>
      <c r="U54" s="17" t="n"/>
      <c r="V54" s="17" t="n"/>
      <c r="W54" s="17" t="n"/>
      <c r="X54" s="17" t="n"/>
      <c r="Y54" s="17" t="n"/>
      <c r="Z54" s="17" t="n"/>
    </row>
    <row r="55" ht="43.5" customHeight="1" s="15">
      <c r="A55" s="17" t="inlineStr">
        <is>
          <t>G1-034</t>
        </is>
      </c>
      <c r="B55" s="27" t="inlineStr">
        <is>
          <t>STD Templates / Tenders</t>
        </is>
      </c>
      <c r="C55" s="27" t="inlineStr">
        <is>
          <t>Build the template walkthrough.</t>
        </is>
      </c>
      <c r="D55" s="27" t="inlineStr">
        <is>
          <t>STD Templates walkthrough over the release fixture; Tender walkthrough before and after publication; server-evaluated answers never saved; field panel and All supplier fields list.</t>
        </is>
      </c>
      <c r="E55" s="27" t="inlineStr">
        <is>
          <t>STD-DES-03 full-screen route; Walk through supplier bid on STD Templates and TPR-DES-05, 06, 07 and 09.</t>
        </is>
      </c>
      <c r="F55" s="27" t="inlineStr">
        <is>
          <t>STD-TPL-001 proposed v0.14 / TPR-CHG-001 and BDS-CHG-001 successors not yet drafted / STD-TPL-IMP-001 v1.1</t>
        </is>
      </c>
      <c r="G55" s="27" t="inlineStr">
        <is>
          <t>Project Owner review</t>
        </is>
      </c>
      <c r="H55" s="27" t="inlineStr">
        <is>
          <t>No</t>
        </is>
      </c>
      <c r="I55" s="27" t="inlineStr">
        <is>
          <t>Not started</t>
        </is>
      </c>
      <c r="J55" s="27" t="inlineStr">
        <is>
          <t>Not started</t>
        </is>
      </c>
      <c r="K55" s="27" t="n"/>
      <c r="L55" s="17" t="n"/>
      <c r="M55" s="17" t="n"/>
      <c r="N55" s="17" t="n"/>
      <c r="O55" s="17" t="n"/>
      <c r="P55" s="17" t="n"/>
      <c r="Q55" s="17" t="n"/>
      <c r="R55" s="17" t="n"/>
      <c r="S55" s="17" t="n"/>
      <c r="T55" s="17" t="n"/>
      <c r="U55" s="17" t="n"/>
      <c r="V55" s="17" t="n"/>
      <c r="W55" s="17" t="n"/>
      <c r="X55" s="17" t="n"/>
      <c r="Y55" s="17" t="n"/>
      <c r="Z55" s="17" t="n"/>
    </row>
    <row r="56" ht="150" customHeight="1" s="15">
      <c r="A56" s="35" t="inlineStr">
        <is>
          <t>OVS-001</t>
        </is>
      </c>
      <c r="B56" s="35" t="inlineStr">
        <is>
          <t>Evaluation</t>
        </is>
      </c>
      <c r="C56" s="35" t="inlineStr">
        <is>
          <t>Restore delivered report/evidence visibility through corrections and Award hand-off</t>
        </is>
      </c>
      <c r="D56" s="35" t="inlineStr">
        <is>
          <t>OVS v0.6 and matching owner amendments</t>
        </is>
      </c>
      <c r="E56" s="35" t="inlineStr">
        <is>
          <t>Current KT-STD pattern; canonical fixtures; no duplicate workflow</t>
        </is>
      </c>
      <c r="F56" s="35" t="inlineStr">
        <is>
          <t>OVS-CHG-001 v0.6</t>
        </is>
      </c>
      <c r="G56" s="35" t="inlineStr">
        <is>
          <t>Approved requirement</t>
        </is>
      </c>
      <c r="H56" s="35" t="inlineStr">
        <is>
          <t>Yes — affected feature only</t>
        </is>
      </c>
      <c r="I56" s="35" t="inlineStr">
        <is>
          <t>Not started</t>
        </is>
      </c>
      <c r="J56" s="35" t="inlineStr">
        <is>
          <t>Not started</t>
        </is>
      </c>
      <c r="K56" s="35" t="inlineStr">
        <is>
          <t>No runtime verification claimed.</t>
        </is>
      </c>
      <c r="L56" s="17" t="n"/>
      <c r="M56" s="17" t="n"/>
      <c r="N56" s="17" t="n"/>
      <c r="O56" s="17" t="n"/>
      <c r="P56" s="17" t="n"/>
      <c r="Q56" s="17" t="n"/>
      <c r="R56" s="17" t="n"/>
      <c r="S56" s="17" t="n"/>
      <c r="T56" s="17" t="n"/>
      <c r="U56" s="17" t="n"/>
      <c r="V56" s="17" t="n"/>
      <c r="W56" s="17" t="n"/>
      <c r="X56" s="17" t="n"/>
      <c r="Y56" s="17" t="n"/>
      <c r="Z56" s="17" t="n"/>
    </row>
    <row r="57" ht="150" customHeight="1" s="15">
      <c r="A57" s="35" t="inlineStr">
        <is>
          <t>OVS-002</t>
        </is>
      </c>
      <c r="B57" s="35" t="inlineStr">
        <is>
          <t>Shared usability</t>
        </is>
      </c>
      <c r="C57" s="35" t="inlineStr">
        <is>
          <t>Persistent registers, records, scoped search, history and existing action links</t>
        </is>
      </c>
      <c r="D57" s="35" t="inlineStr">
        <is>
          <t>OVS v0.6 and matching owner amendments</t>
        </is>
      </c>
      <c r="E57" s="35" t="inlineStr">
        <is>
          <t>Current KT-STD pattern; canonical fixtures; no duplicate workflow</t>
        </is>
      </c>
      <c r="F57" s="35" t="inlineStr">
        <is>
          <t>OVS-CHG-001 v0.6</t>
        </is>
      </c>
      <c r="G57" s="35" t="inlineStr">
        <is>
          <t>Approved requirement</t>
        </is>
      </c>
      <c r="H57" s="35" t="inlineStr">
        <is>
          <t>Yes — affected feature only</t>
        </is>
      </c>
      <c r="I57" s="35" t="inlineStr">
        <is>
          <t>Not started</t>
        </is>
      </c>
      <c r="J57" s="35" t="inlineStr">
        <is>
          <t>Not started</t>
        </is>
      </c>
      <c r="K57" s="35" t="inlineStr">
        <is>
          <t>No runtime verification claimed.</t>
        </is>
      </c>
      <c r="L57" s="17" t="n"/>
      <c r="M57" s="17" t="n"/>
      <c r="N57" s="17" t="n"/>
      <c r="O57" s="17" t="n"/>
      <c r="P57" s="17" t="n"/>
      <c r="Q57" s="17" t="n"/>
      <c r="R57" s="17" t="n"/>
      <c r="S57" s="17" t="n"/>
      <c r="T57" s="17" t="n"/>
      <c r="U57" s="17" t="n"/>
      <c r="V57" s="17" t="n"/>
      <c r="W57" s="17" t="n"/>
      <c r="X57" s="17" t="n"/>
      <c r="Y57" s="17" t="n"/>
      <c r="Z57" s="17" t="n"/>
    </row>
    <row r="58" ht="150" customHeight="1" s="15">
      <c r="A58" s="35" t="inlineStr">
        <is>
          <t>OVS-003</t>
        </is>
      </c>
      <c r="B58" s="35" t="inlineStr">
        <is>
          <t>Departmental oversight</t>
        </is>
      </c>
      <c r="C58" s="35" t="inlineStr">
        <is>
          <t>Implement explicit OVS §4.1 owner reads and immutable source scope</t>
        </is>
      </c>
      <c r="D58" s="35" t="inlineStr">
        <is>
          <t>OVS v0.6 and matching owner amendments</t>
        </is>
      </c>
      <c r="E58" s="35" t="inlineStr">
        <is>
          <t>Current KT-STD pattern; canonical fixtures; no duplicate workflow</t>
        </is>
      </c>
      <c r="F58" s="35" t="inlineStr">
        <is>
          <t>OVS-CHG-001 v0.6</t>
        </is>
      </c>
      <c r="G58" s="35" t="inlineStr">
        <is>
          <t>Approved requirement</t>
        </is>
      </c>
      <c r="H58" s="35" t="inlineStr">
        <is>
          <t>Yes — affected feature only</t>
        </is>
      </c>
      <c r="I58" s="35" t="inlineStr">
        <is>
          <t>Not started</t>
        </is>
      </c>
      <c r="J58" s="35" t="inlineStr">
        <is>
          <t>Not started</t>
        </is>
      </c>
      <c r="K58" s="35" t="inlineStr">
        <is>
          <t>No runtime verification claimed.</t>
        </is>
      </c>
      <c r="L58" s="17" t="n"/>
      <c r="M58" s="17" t="n"/>
      <c r="N58" s="17" t="n"/>
      <c r="O58" s="17" t="n"/>
      <c r="P58" s="17" t="n"/>
      <c r="Q58" s="17" t="n"/>
      <c r="R58" s="17" t="n"/>
      <c r="S58" s="17" t="n"/>
      <c r="T58" s="17" t="n"/>
      <c r="U58" s="17" t="n"/>
      <c r="V58" s="17" t="n"/>
      <c r="W58" s="17" t="n"/>
      <c r="X58" s="17" t="n"/>
      <c r="Y58" s="17" t="n"/>
      <c r="Z58" s="17" t="n"/>
    </row>
    <row r="59" ht="150" customHeight="1" s="15">
      <c r="A59" s="35" t="inlineStr">
        <is>
          <t>OVS-004</t>
        </is>
      </c>
      <c r="B59" s="35" t="inlineStr">
        <is>
          <t>Tender and Proceedings</t>
        </is>
      </c>
      <c r="C59" s="35" t="inlineStr">
        <is>
          <t>Stage summaries and correctly filtered meeting register</t>
        </is>
      </c>
      <c r="D59" s="35" t="inlineStr">
        <is>
          <t>OVS v0.6 and matching owner amendments</t>
        </is>
      </c>
      <c r="E59" s="35" t="inlineStr">
        <is>
          <t>Current KT-STD pattern; canonical fixtures; no duplicate workflow</t>
        </is>
      </c>
      <c r="F59" s="35" t="inlineStr">
        <is>
          <t>OVS-CHG-001 v0.6</t>
        </is>
      </c>
      <c r="G59" s="35" t="inlineStr">
        <is>
          <t>Approved requirement</t>
        </is>
      </c>
      <c r="H59" s="35" t="inlineStr">
        <is>
          <t>Yes — affected feature only</t>
        </is>
      </c>
      <c r="I59" s="35" t="inlineStr">
        <is>
          <t>Not started</t>
        </is>
      </c>
      <c r="J59" s="35" t="inlineStr">
        <is>
          <t>Not started</t>
        </is>
      </c>
      <c r="K59" s="35" t="inlineStr">
        <is>
          <t>No runtime verification claimed.</t>
        </is>
      </c>
      <c r="L59" s="17" t="n"/>
      <c r="M59" s="17" t="n"/>
      <c r="N59" s="17" t="n"/>
      <c r="O59" s="17" t="n"/>
      <c r="P59" s="17" t="n"/>
      <c r="Q59" s="17" t="n"/>
      <c r="R59" s="17" t="n"/>
      <c r="S59" s="17" t="n"/>
      <c r="T59" s="17" t="n"/>
      <c r="U59" s="17" t="n"/>
      <c r="V59" s="17" t="n"/>
      <c r="W59" s="17" t="n"/>
      <c r="X59" s="17" t="n"/>
      <c r="Y59" s="17" t="n"/>
      <c r="Z59" s="17" t="n"/>
    </row>
    <row r="60" ht="150" customHeight="1" s="15">
      <c r="A60" s="35" t="inlineStr">
        <is>
          <t>OVS-005</t>
        </is>
      </c>
      <c r="B60" s="35" t="inlineStr">
        <is>
          <t>Contract Management</t>
        </is>
      </c>
      <c r="C60" s="35" t="inlineStr">
        <is>
          <t>Apply all-stage usability with independent external contract entry; source reconciliation pending</t>
        </is>
      </c>
      <c r="D60" s="35" t="inlineStr">
        <is>
          <t>OVS v0.6 and matching owner amendments</t>
        </is>
      </c>
      <c r="E60" s="35" t="inlineStr">
        <is>
          <t>Current KT-STD pattern; canonical fixtures; no duplicate workflow</t>
        </is>
      </c>
      <c r="F60" s="35" t="inlineStr">
        <is>
          <t>OVS-CHG-001 v0.6</t>
        </is>
      </c>
      <c r="G60" s="35" t="inlineStr">
        <is>
          <t>Approved requirement</t>
        </is>
      </c>
      <c r="H60" s="35" t="inlineStr">
        <is>
          <t>Yes — affected feature only</t>
        </is>
      </c>
      <c r="I60" s="35" t="inlineStr">
        <is>
          <t>Not started</t>
        </is>
      </c>
      <c r="J60" s="35" t="inlineStr">
        <is>
          <t>Not started</t>
        </is>
      </c>
      <c r="K60" s="35" t="inlineStr">
        <is>
          <t>No runtime verification claimed.</t>
        </is>
      </c>
      <c r="L60" s="17" t="n"/>
      <c r="M60" s="17" t="n"/>
      <c r="N60" s="17" t="n"/>
      <c r="O60" s="17" t="n"/>
      <c r="P60" s="17" t="n"/>
      <c r="Q60" s="17" t="n"/>
      <c r="R60" s="17" t="n"/>
      <c r="S60" s="17" t="n"/>
      <c r="T60" s="17" t="n"/>
      <c r="U60" s="17" t="n"/>
      <c r="V60" s="17" t="n"/>
      <c r="W60" s="17" t="n"/>
      <c r="X60" s="17" t="n"/>
      <c r="Y60" s="17" t="n"/>
      <c r="Z60" s="17" t="n"/>
    </row>
    <row r="61" ht="150" customHeight="1" s="15">
      <c r="A61" s="35" t="inlineStr">
        <is>
          <t>OVS-006</t>
        </is>
      </c>
      <c r="B61" s="35" t="inlineStr">
        <is>
          <t>Verification</t>
        </is>
      </c>
      <c r="C61" s="35" t="inlineStr">
        <is>
          <t>Complete cross-role usability, correction, permission, search and recovery journeys</t>
        </is>
      </c>
      <c r="D61" s="35" t="inlineStr">
        <is>
          <t>OVS v0.6 and matching owner amendments</t>
        </is>
      </c>
      <c r="E61" s="35" t="inlineStr">
        <is>
          <t>Current KT-STD pattern; canonical fixtures; no duplicate workflow</t>
        </is>
      </c>
      <c r="F61" s="35" t="inlineStr">
        <is>
          <t>OVS-CHG-001 v0.6</t>
        </is>
      </c>
      <c r="G61" s="35" t="inlineStr">
        <is>
          <t>Approved requirement</t>
        </is>
      </c>
      <c r="H61" s="35" t="inlineStr">
        <is>
          <t>Yes — affected feature only</t>
        </is>
      </c>
      <c r="I61" s="35" t="inlineStr">
        <is>
          <t>Not started</t>
        </is>
      </c>
      <c r="J61" s="35" t="inlineStr">
        <is>
          <t>Not started</t>
        </is>
      </c>
      <c r="K61" s="35" t="inlineStr">
        <is>
          <t>No runtime verification claimed.</t>
        </is>
      </c>
      <c r="L61" s="17" t="n"/>
      <c r="M61" s="17" t="n"/>
      <c r="N61" s="17" t="n"/>
      <c r="O61" s="17" t="n"/>
      <c r="P61" s="17" t="n"/>
      <c r="Q61" s="17" t="n"/>
      <c r="R61" s="17" t="n"/>
      <c r="S61" s="17" t="n"/>
      <c r="T61" s="17" t="n"/>
      <c r="U61" s="17" t="n"/>
      <c r="V61" s="17" t="n"/>
      <c r="W61" s="17" t="n"/>
      <c r="X61" s="17" t="n"/>
      <c r="Y61" s="17" t="n"/>
      <c r="Z61" s="17" t="n"/>
    </row>
    <row r="62" ht="150" customHeight="1" s="15">
      <c r="A62" s="35" t="inlineStr">
        <is>
          <t>OVS-007</t>
        </is>
      </c>
      <c r="B62" s="35" t="inlineStr">
        <is>
          <t>Working context</t>
        </is>
      </c>
      <c r="C62" s="35" t="inlineStr">
        <is>
          <t>Align context with single-site identity and current AUTH; remove obsolete permission/context prerequisites</t>
        </is>
      </c>
      <c r="D62" s="35" t="inlineStr">
        <is>
          <t>Proposed CTX v1.1 and OVS v0.6</t>
        </is>
      </c>
      <c r="E62" s="35" t="inlineStr">
        <is>
          <t>Local reversible filters; direct records open from their own context</t>
        </is>
      </c>
      <c r="F62" s="35" t="inlineStr">
        <is>
          <t>CTX-CHG-001 v1.1</t>
        </is>
      </c>
      <c r="G62" s="35" t="inlineStr">
        <is>
          <t>Approved requirement</t>
        </is>
      </c>
      <c r="H62" s="35" t="inlineStr">
        <is>
          <t>Yes — affected context only</t>
        </is>
      </c>
      <c r="I62" s="35" t="inlineStr">
        <is>
          <t>Not started</t>
        </is>
      </c>
      <c r="J62" s="35" t="inlineStr">
        <is>
          <t>Not started</t>
        </is>
      </c>
      <c r="K62" s="35" t="inlineStr">
        <is>
          <t>No repository verification claimed</t>
        </is>
      </c>
      <c r="L62" s="17" t="n"/>
      <c r="M62" s="17" t="n"/>
      <c r="N62" s="17" t="n"/>
      <c r="O62" s="17" t="n"/>
      <c r="P62" s="17" t="n"/>
      <c r="Q62" s="17" t="n"/>
      <c r="R62" s="17" t="n"/>
      <c r="S62" s="17" t="n"/>
      <c r="T62" s="17" t="n"/>
      <c r="U62" s="17" t="n"/>
      <c r="V62" s="17" t="n"/>
      <c r="W62" s="17" t="n"/>
      <c r="X62" s="17" t="n"/>
      <c r="Y62" s="17" t="n"/>
      <c r="Z62" s="17" t="n"/>
    </row>
    <row r="63" ht="150" customHeight="1" s="15">
      <c r="A63" s="35" t="inlineStr">
        <is>
          <t>TNW-001</t>
        </is>
      </c>
      <c r="B63" s="35" t="inlineStr">
        <is>
          <t>Test notices withdrawn</t>
        </is>
      </c>
      <c r="C63" s="35" t="inlineStr">
        <is>
          <t>Test-environment notices, simulation and test-attestation labels and the record Simulation flags removed from screens, receipts, forms and the portal shell; the requirement documents corrected to match</t>
        </is>
      </c>
      <c r="D63" s="35" t="inlineStr">
        <is>
          <t>Proposed successors of TRUST-ADR-001, PRC-CHG-001, BOP-CHG-001, AWD-CHG-001 and BDS-CHG-001 (see each entry's approval_history); decision DEC-044</t>
        </is>
      </c>
      <c r="E63" s="35" t="inlineStr">
        <is>
          <t>No notice or label on receipts, Award boards or the supplier portal</t>
        </is>
      </c>
      <c r="F63" s="35" t="inlineStr">
        <is>
          <t>TRUST-ADR-001</t>
        </is>
      </c>
      <c r="G63" s="35" t="inlineStr">
        <is>
          <t>Project Owner review</t>
        </is>
      </c>
      <c r="H63" s="35" t="inlineStr">
        <is>
          <t>No</t>
        </is>
      </c>
      <c r="I63" s="35" t="inlineStr">
        <is>
          <t>Implemented</t>
        </is>
      </c>
      <c r="J63" s="35" t="inlineStr">
        <is>
          <t>Pending</t>
        </is>
      </c>
      <c r="K63" s="35" t="inlineStr">
        <is>
          <t>Development site migrated 10 October 2026; focused Python and vitest checks and a source guard test ran on kentender-test.local (see the change report); no browser walk and no full suite recorded</t>
        </is>
      </c>
      <c r="L63" s="17" t="n"/>
      <c r="M63" s="17" t="n"/>
      <c r="N63" s="17" t="n"/>
      <c r="O63" s="17" t="n"/>
      <c r="P63" s="17" t="n"/>
      <c r="Q63" s="17" t="n"/>
      <c r="R63" s="17" t="n"/>
      <c r="S63" s="17" t="n"/>
      <c r="T63" s="17" t="n"/>
      <c r="U63" s="17" t="n"/>
      <c r="V63" s="17" t="n"/>
      <c r="W63" s="17" t="n"/>
      <c r="X63" s="17" t="n"/>
      <c r="Y63" s="17" t="n"/>
      <c r="Z63" s="17" t="n"/>
    </row>
    <row r="64" ht="150" customHeight="1" s="15">
      <c r="A64" s="35" t="inlineStr">
        <is>
          <t>TSI-001</t>
        </is>
      </c>
      <c r="B64" s="35" t="inlineStr">
        <is>
          <t>Tender-security intake and sealed-bid confidentiality</t>
        </is>
      </c>
      <c r="C64" s="35" t="inlineStr">
        <is>
          <t>Intake duty assigned per Tender by the Head of Procurement Function; separation of intake from opening and evaluation; intake independent of bid submission with matching after the opening boundary; sealed bid and intake records closed to technical accounts; explicit electronic security journey with issuer verification; fixtures rebuilt with an existing intake officer</t>
        </is>
      </c>
      <c r="D64" s="35" t="inlineStr">
        <is>
          <t>Proposed successors of AUTH-ADR-001, BDS-CHG-001, BOP-CHG-001, EVL-CHG-001, TRUST-ADR-001 and SEED-002 (see each entry's approval_history); decisions DEC-045 to DEC-048</t>
        </is>
      </c>
      <c r="E64" s="35" t="inlineStr">
        <is>
          <t>Tender-security intake duty page (redraw owed); Company task status facts</t>
        </is>
      </c>
      <c r="F64" s="35" t="inlineStr">
        <is>
          <t>BDS-CHG-001</t>
        </is>
      </c>
      <c r="G64" s="35" t="inlineStr">
        <is>
          <t>Mixed approved/proposed</t>
        </is>
      </c>
      <c r="H64" s="35" t="inlineStr">
        <is>
          <t>Yes — tender-security handling</t>
        </is>
      </c>
      <c r="I64" s="35" t="inlineStr">
        <is>
          <t>In progress</t>
        </is>
      </c>
      <c r="J64" s="35" t="inlineStr">
        <is>
          <t>Pending</t>
        </is>
      </c>
      <c r="K64" s="35" t="inlineStr">
        <is>
          <t>Server, vitest and browser checks on kentender-test.local as listed in the reconciliation report 98_work_progress/KenTender_Tender_Security_Intake_Reconciliation_2026-10-10.md; the dev site is migrated at the Project Owner's instruction; no full suite recorded Requirement documents approved 11 October 2026 except the EVL-CHG-001 proposal, which remains proposed.</t>
        </is>
      </c>
      <c r="L64" s="17" t="n"/>
      <c r="M64" s="17" t="n"/>
      <c r="N64" s="17" t="n"/>
      <c r="O64" s="17" t="n"/>
      <c r="P64" s="17" t="n"/>
      <c r="Q64" s="17" t="n"/>
      <c r="R64" s="17" t="n"/>
      <c r="S64" s="17" t="n"/>
      <c r="T64" s="17" t="n"/>
      <c r="U64" s="17" t="n"/>
      <c r="V64" s="17" t="n"/>
      <c r="W64" s="17" t="n"/>
      <c r="X64" s="17" t="n"/>
      <c r="Y64" s="17" t="n"/>
      <c r="Z64" s="17" t="n"/>
    </row>
    <row r="65" ht="150" customHeight="1" s="15">
      <c r="A65" s="35" t="inlineStr">
        <is>
          <t>TSI-002</t>
        </is>
      </c>
      <c r="B65" s="35" t="inlineStr">
        <is>
          <t>Security status wording, Tender-stated security method, incident-record exposure</t>
        </is>
      </c>
      <c r="C65" s="35" t="inlineStr">
        <is>
          <t>Supplier status wording and read-time own-instrument status; the Tender's submission method and original-delivery controls carried into the published release; Opening incident and linked records sealed</t>
        </is>
      </c>
      <c r="D65" s="35" t="inlineStr">
        <is>
          <t>Approved 11 October 2026: successors of BDS-CHG-001, TPR-CHG-001, STD-TPL-001, BOP-CHG-001, TRUST-ADR-001, AUTH-ADR-001 and SEED-002; decisions DEC-049 to DEC-052</t>
        </is>
      </c>
      <c r="E65" s="35" t="inlineStr">
        <is>
          <t>Tender details task selects; Company/Review/Submit status facts (redraw owed)</t>
        </is>
      </c>
      <c r="F65" s="35" t="inlineStr">
        <is>
          <t>BDS-CHG-001</t>
        </is>
      </c>
      <c r="G65" s="35" t="inlineStr">
        <is>
          <t>Approved requirement</t>
        </is>
      </c>
      <c r="H65" s="35" t="inlineStr">
        <is>
          <t>Yes — tender-security intake and sealed-bid confidentiality</t>
        </is>
      </c>
      <c r="I65" s="35" t="inlineStr">
        <is>
          <t>Implemented</t>
        </is>
      </c>
      <c r="J65" s="35" t="inlineStr">
        <is>
          <t>Pending</t>
        </is>
      </c>
      <c r="K65" s="35" t="inlineStr">
        <is>
          <t>See the reconciliation report follow-up of 10 October 2026 for exactly what ran on kentender-test.local and what did not</t>
        </is>
      </c>
      <c r="L65" s="17" t="n"/>
      <c r="M65" s="17" t="n"/>
      <c r="N65" s="17" t="n"/>
      <c r="O65" s="17" t="n"/>
      <c r="P65" s="17" t="n"/>
      <c r="Q65" s="17" t="n"/>
      <c r="R65" s="17" t="n"/>
      <c r="S65" s="17" t="n"/>
      <c r="T65" s="17" t="n"/>
      <c r="U65" s="17" t="n"/>
      <c r="V65" s="17" t="n"/>
      <c r="W65" s="17" t="n"/>
      <c r="X65" s="17" t="n"/>
      <c r="Y65" s="17" t="n"/>
      <c r="Z65" s="17" t="n"/>
    </row>
    <row r="66" ht="150" customHeight="1" s="15">
      <c r="A66" s="35" t="inlineStr">
        <is>
          <t>PR-001</t>
        </is>
      </c>
      <c r="B66" s="35" t="inlineStr">
        <is>
          <t>Production readiness: incident recovery and emergency access to sealed contents</t>
        </is>
      </c>
      <c r="C66" s="35" t="inlineStr">
        <is>
          <t>Define the incident-recovery procedure (authorisation, scope, duration, audit evidence, recovery steps) before production; any exceptional access to sealed contents needs a separately reviewed design that preserves the authorised-opening controls; operational recovery is separate from content access; no administrator bypass</t>
        </is>
      </c>
      <c r="D66" s="35" t="inlineStr">
        <is>
          <t>TRUST-ADR-001 section 2B item 6 (approved 11 October 2026); TRUST-OPS-001 v0.1 (draft procedure, approved 11 October 2026); decisions DEC-052 and DEC-056</t>
        </is>
      </c>
      <c r="E66" s="35" t="inlineStr">
        <is>
          <t>None</t>
        </is>
      </c>
      <c r="F66" s="35" t="inlineStr">
        <is>
          <t>TRUST-ADR-001</t>
        </is>
      </c>
      <c r="G66" s="35" t="inlineStr">
        <is>
          <t>Approved requirement</t>
        </is>
      </c>
      <c r="H66" s="35" t="inlineStr">
        <is>
          <t>Yes — blocks production</t>
        </is>
      </c>
      <c r="I66" s="35" t="inlineStr">
        <is>
          <t>In progress</t>
        </is>
      </c>
      <c r="J66" s="35" t="inlineStr">
        <is>
          <t>Not started</t>
        </is>
      </c>
      <c r="K66" s="35" t="inlineStr">
        <is>
          <t>Draft procedure written 11 October 2026 (TRUST-OPS-001 v0.1). Not tested; not approved. Closes only when approved, tested (tabletop and technical drills) and the results accepted. Audit of incident-detail reads is built and tested (Opening Incident Access Event).</t>
        </is>
      </c>
      <c r="L66" s="17" t="n"/>
      <c r="M66" s="17" t="n"/>
      <c r="N66" s="17" t="n"/>
      <c r="O66" s="17" t="n"/>
      <c r="P66" s="17" t="n"/>
      <c r="Q66" s="17" t="n"/>
      <c r="R66" s="17" t="n"/>
      <c r="S66" s="17" t="n"/>
      <c r="T66" s="17" t="n"/>
      <c r="U66" s="17" t="n"/>
      <c r="V66" s="17" t="n"/>
      <c r="W66" s="17" t="n"/>
      <c r="X66" s="17" t="n"/>
      <c r="Y66" s="17" t="n"/>
      <c r="Z66" s="17" t="n"/>
    </row>
    <row r="67" ht="150" customHeight="1" s="15">
      <c r="A67" s="35" t="inlineStr">
        <is>
          <t>TSI-003</t>
        </is>
      </c>
      <c r="B67" s="35" t="inlineStr">
        <is>
          <t>Tender security: methods, release 1.5, correction, addendum, draft update, incident-read auditing</t>
        </is>
      </c>
      <c r="C67" s="35" t="inlineStr">
        <is>
          <t>Three submission methods; template release 1.5 with conditional evidence; UpdateDraftTemplateRelease; two addendum rows; CorrectSecurityStatement; audited incident-detail reads, export and access trail</t>
        </is>
      </c>
      <c r="D67" s="35" t="inlineStr">
        <is>
          <t>Approved 11 October 2026: successors of BDS-CHG-001, TPR-CHG-001, STD-TPL-001, BOP-CHG-001, TRUST-ADR-001, AUTH-ADR-001 and SEED-002, and TRUST-OPS-001; decisions DEC-053 to DEC-056</t>
        </is>
      </c>
      <c r="E67" s="35" t="inlineStr">
        <is>
          <t>Tender details select, Addendum choice list, Draft release notice, incident details panel (artboards owed); no screen yet for the correction</t>
        </is>
      </c>
      <c r="F67" s="35" t="inlineStr">
        <is>
          <t>TPR-CHG-001</t>
        </is>
      </c>
      <c r="G67" s="35" t="inlineStr">
        <is>
          <t>Approved requirement</t>
        </is>
      </c>
      <c r="H67" s="35" t="inlineStr">
        <is>
          <t>Yes — tender-security intake and sealed-bid confidentiality</t>
        </is>
      </c>
      <c r="I67" s="35" t="inlineStr">
        <is>
          <t>Implemented</t>
        </is>
      </c>
      <c r="J67" s="35" t="inlineStr">
        <is>
          <t>Pending</t>
        </is>
      </c>
      <c r="K67" s="35" t="inlineStr">
        <is>
          <t>See the follow-up reconciliation report of 11 October 2026 for exactly what ran and what did not</t>
        </is>
      </c>
      <c r="L67" s="17" t="n"/>
      <c r="M67" s="17" t="n"/>
      <c r="N67" s="17" t="n"/>
      <c r="O67" s="17" t="n"/>
      <c r="P67" s="17" t="n"/>
      <c r="Q67" s="17" t="n"/>
      <c r="R67" s="17" t="n"/>
      <c r="S67" s="17" t="n"/>
      <c r="T67" s="17" t="n"/>
      <c r="U67" s="17" t="n"/>
      <c r="V67" s="17" t="n"/>
      <c r="W67" s="17" t="n"/>
      <c r="X67" s="17" t="n"/>
      <c r="Y67" s="17" t="n"/>
      <c r="Z67" s="17" t="n"/>
    </row>
    <row r="68" ht="15" customHeight="1" s="15">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row>
    <row r="69" ht="15" customHeight="1" s="15">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row>
    <row r="70" ht="15" customHeight="1" s="15">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row>
    <row r="71" ht="15" customHeight="1" s="15">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row>
    <row r="72" ht="15" customHeight="1" s="15">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row>
    <row r="73" ht="15" customHeight="1" s="15">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row>
    <row r="74" ht="15" customHeight="1" s="15">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row>
    <row r="75" ht="15" customHeight="1" s="15">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row>
    <row r="76" ht="15" customHeight="1" s="15">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row>
    <row r="77" ht="15" customHeight="1" s="15">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row>
    <row r="78" ht="15" customHeight="1" s="15">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row>
    <row r="79" ht="15" customHeight="1" s="15">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row>
    <row r="80" ht="15" customHeight="1" s="15">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row>
    <row r="81" ht="15" customHeight="1" s="15">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row>
    <row r="82" ht="15" customHeight="1" s="15">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row>
    <row r="83" ht="15" customHeight="1" s="15">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row>
    <row r="84" ht="15" customHeight="1" s="15">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row>
    <row r="85" ht="15" customHeight="1" s="15">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row>
    <row r="86" ht="15" customHeight="1" s="15">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row>
    <row r="87" ht="15" customHeight="1" s="15">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row>
    <row r="88" ht="15" customHeight="1" s="15">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row>
    <row r="89" ht="15" customHeight="1" s="15">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row>
    <row r="90" ht="15" customHeight="1" s="15">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row>
    <row r="91" ht="15" customHeight="1" s="15">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row>
    <row r="92" ht="15" customHeight="1" s="15">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row>
    <row r="93" ht="15" customHeight="1" s="15">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row>
    <row r="94" ht="15" customHeight="1" s="15">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row>
    <row r="95" ht="15" customHeight="1" s="15">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row>
    <row r="96" ht="15" customHeight="1" s="15">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row>
    <row r="97" ht="15" customHeight="1" s="15">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row>
    <row r="98" ht="15" customHeight="1" s="15">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row>
    <row r="99" ht="15" customHeight="1" s="15">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row>
    <row r="100" ht="15" customHeight="1" s="15">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row>
    <row r="101" ht="15" customHeight="1" s="15">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row>
    <row r="102" ht="15" customHeight="1" s="15">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row>
    <row r="103" ht="15" customHeight="1" s="15">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row>
    <row r="104" ht="15" customHeight="1" s="15">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row>
    <row r="105" ht="15" customHeight="1" s="15">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row>
    <row r="106" ht="15" customHeight="1" s="15">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row>
    <row r="107" ht="15" customHeight="1" s="15">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row>
    <row r="108" ht="15" customHeight="1" s="15">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row>
    <row r="109" ht="15" customHeight="1" s="15">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row>
    <row r="110" ht="15" customHeight="1" s="15">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row>
    <row r="111" ht="15" customHeight="1" s="15">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row>
    <row r="112" ht="15" customHeight="1" s="15">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row>
    <row r="113" ht="15" customHeight="1" s="15">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row>
    <row r="114" ht="15" customHeight="1" s="15">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row>
    <row r="115" ht="15" customHeight="1" s="15">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row>
    <row r="116" ht="15" customHeight="1" s="15">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row>
    <row r="117" ht="15" customHeight="1" s="15">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row>
    <row r="118" ht="15" customHeight="1" s="15">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row>
    <row r="119" ht="15" customHeight="1" s="15">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row>
    <row r="120" ht="15" customHeight="1" s="15">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row>
    <row r="121" ht="15" customHeight="1" s="15">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row>
    <row r="122" ht="15" customHeight="1" s="15">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row>
    <row r="123" ht="15" customHeight="1" s="15">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row>
    <row r="124" ht="15" customHeight="1" s="15">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row>
    <row r="125" ht="15" customHeight="1" s="15">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row>
    <row r="126" ht="15" customHeight="1" s="15">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row>
    <row r="127" ht="15" customHeight="1" s="15">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row>
    <row r="128" ht="15" customHeight="1" s="15">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row>
    <row r="129" ht="15" customHeight="1" s="15">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row>
    <row r="130" ht="15" customHeight="1" s="15">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row>
    <row r="131" ht="15" customHeight="1" s="15">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row>
    <row r="132" ht="15" customHeight="1" s="15">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row>
    <row r="133" ht="15" customHeight="1" s="15">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row>
    <row r="134" ht="15" customHeight="1" s="15">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row>
    <row r="135" ht="15" customHeight="1" s="15">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row>
    <row r="136" ht="15" customHeight="1" s="15">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row>
    <row r="137" ht="15" customHeight="1" s="15">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row>
    <row r="138" ht="15" customHeight="1" s="15">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row>
    <row r="139" ht="15" customHeight="1" s="15">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row>
    <row r="140" ht="15" customHeight="1" s="15">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row>
    <row r="141" ht="15" customHeight="1" s="15">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row>
    <row r="142" ht="15" customHeight="1" s="15">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row>
    <row r="143" ht="15" customHeight="1" s="15">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row>
    <row r="144" ht="15" customHeight="1" s="15">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row>
    <row r="145" ht="15" customHeight="1" s="15">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row>
    <row r="146" ht="15" customHeight="1" s="15">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row>
    <row r="147" ht="15" customHeight="1" s="15">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row>
    <row r="148" ht="15" customHeight="1" s="15">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row>
    <row r="149" ht="15" customHeight="1" s="15">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row>
    <row r="150" ht="15" customHeight="1" s="15">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row>
    <row r="151" ht="15" customHeight="1" s="15">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row>
    <row r="152" ht="15" customHeight="1" s="15">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row>
    <row r="153" ht="15" customHeight="1" s="15">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row>
    <row r="154" ht="15" customHeight="1" s="15">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row>
    <row r="155" ht="15" customHeight="1" s="15">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row>
    <row r="156" ht="15" customHeight="1" s="15">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row>
    <row r="157" ht="15" customHeight="1" s="15">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row>
    <row r="158" ht="15" customHeight="1" s="15">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row>
    <row r="159" ht="15" customHeight="1" s="15">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row>
    <row r="160" ht="15" customHeight="1" s="15">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row>
    <row r="161" ht="15" customHeight="1" s="15">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row>
    <row r="162" ht="15" customHeight="1" s="15">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row>
    <row r="163" ht="15" customHeight="1" s="15">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row>
    <row r="164" ht="15" customHeight="1" s="15">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row>
    <row r="165" ht="15" customHeight="1" s="15">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row>
    <row r="166" ht="15" customHeight="1" s="15">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row>
    <row r="167" ht="15" customHeight="1" s="15">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row>
    <row r="168" ht="15" customHeight="1" s="15">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row>
    <row r="169" ht="15" customHeight="1" s="15">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row>
    <row r="170" ht="15" customHeight="1" s="15">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row>
    <row r="171" ht="15" customHeight="1" s="15">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row>
    <row r="172" ht="15" customHeight="1" s="15">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row>
    <row r="173" ht="15" customHeight="1" s="15">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row>
    <row r="174" ht="15" customHeight="1" s="15">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row>
    <row r="175" ht="15" customHeight="1" s="15">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row>
    <row r="176" ht="15" customHeight="1" s="15">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row>
    <row r="177" ht="15" customHeight="1" s="15">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row>
    <row r="178" ht="15" customHeight="1" s="15">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row>
    <row r="179" ht="15" customHeight="1" s="15">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row>
    <row r="180" ht="15" customHeight="1" s="15">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row>
    <row r="181" ht="15" customHeight="1" s="15">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row>
    <row r="182" ht="15" customHeight="1" s="15">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row>
    <row r="183" ht="15" customHeight="1" s="15">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row>
    <row r="184" ht="15" customHeight="1" s="15">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row>
    <row r="185" ht="15" customHeight="1" s="15">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row>
    <row r="186" ht="15" customHeight="1" s="15">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row>
    <row r="187" ht="15" customHeight="1" s="15">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row>
    <row r="188" ht="15" customHeight="1" s="15">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row>
    <row r="189" ht="15" customHeight="1" s="15">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row>
    <row r="190" ht="15" customHeight="1" s="15">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row>
    <row r="191" ht="15" customHeight="1" s="15">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row>
    <row r="192" ht="15" customHeight="1" s="15">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row>
    <row r="193" ht="15" customHeight="1" s="15">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row>
    <row r="194" ht="15" customHeight="1" s="15">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row>
    <row r="195" ht="15" customHeight="1" s="15">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row>
    <row r="196" ht="15" customHeight="1" s="15">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row>
    <row r="197" ht="15" customHeight="1" s="15">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row>
    <row r="198" ht="15" customHeight="1" s="15">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row>
    <row r="199" ht="15" customHeight="1" s="15">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row>
    <row r="200" ht="15" customHeight="1" s="15">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row>
  </sheetData>
  <mergeCells count="2">
    <mergeCell ref="A2:K2"/>
    <mergeCell ref="A1:K1"/>
  </mergeCells>
  <conditionalFormatting sqref="G6:G55">
    <cfRule type="containsText" rank="0" priority="2" equalAverage="0" operator="containsText" aboveAverage="0" dxfId="13" text="Approved" percent="0" bottom="0">
      <formula>NOT(ISERROR(SEARCH("Approved",G6)))</formula>
    </cfRule>
    <cfRule type="containsText" rank="0" priority="3" equalAverage="0" operator="containsText" aboveAverage="0" dxfId="13" text="Passed" percent="0" bottom="0">
      <formula>NOT(ISERROR(SEARCH("Passed",G6)))</formula>
    </cfRule>
    <cfRule type="containsText" rank="0" priority="4" equalAverage="0" operator="containsText" aboveAverage="0" dxfId="13" text="Released" percent="0" bottom="0">
      <formula>NOT(ISERROR(SEARCH("Released",G6)))</formula>
    </cfRule>
    <cfRule type="containsText" rank="0" priority="5" equalAverage="0" operator="containsText" aboveAverage="0" dxfId="1" text="Project Owner review" percent="0" bottom="0">
      <formula>NOT(ISERROR(SEARCH("Project Owner review",G6)))</formula>
    </cfRule>
    <cfRule type="containsText" rank="0" priority="6" equalAverage="0" operator="containsText" aboveAverage="0" dxfId="14" text="Pending" percent="0" bottom="0">
      <formula>NOT(ISERROR(SEARCH("Pending",G6)))</formula>
    </cfRule>
    <cfRule type="containsText" rank="0" priority="7" equalAverage="0" operator="containsText" aboveAverage="0" dxfId="0" text="Blocked" percent="0" bottom="0">
      <formula>NOT(ISERROR(SEARCH("Blocked",G6)))</formula>
    </cfRule>
    <cfRule type="containsText" rank="0" priority="8" equalAverage="0" operator="containsText" aboveAverage="0" dxfId="0" text="unresolved" percent="0" bottom="0">
      <formula>NOT(ISERROR(SEARCH("unresolved",G6)))</formula>
    </cfRule>
    <cfRule type="containsText" rank="0" priority="9" equalAverage="0" operator="containsText" aboveAverage="0" dxfId="15" text="Not started" percent="0" bottom="0">
      <formula>NOT(ISERROR(SEARCH("Not started",G6)))</formula>
    </cfRule>
    <cfRule type="containsText" rank="0" priority="10" equalAverage="0" operator="containsText" aboveAverage="0" dxfId="15" text="Not evidenced" percent="0" bottom="0">
      <formula>NOT(ISERROR(SEARCH("Not evidenced",G6)))</formula>
    </cfRule>
  </conditionalFormatting>
  <conditionalFormatting sqref="I6:I55">
    <cfRule type="containsText" rank="0" priority="11" equalAverage="0" operator="containsText" aboveAverage="0" dxfId="13" text="Approved" percent="0" bottom="0">
      <formula>NOT(ISERROR(SEARCH("Approved",I6)))</formula>
    </cfRule>
    <cfRule type="containsText" rank="0" priority="12" equalAverage="0" operator="containsText" aboveAverage="0" dxfId="13" text="Passed" percent="0" bottom="0">
      <formula>NOT(ISERROR(SEARCH("Passed",I6)))</formula>
    </cfRule>
    <cfRule type="containsText" rank="0" priority="13" equalAverage="0" operator="containsText" aboveAverage="0" dxfId="13" text="Released" percent="0" bottom="0">
      <formula>NOT(ISERROR(SEARCH("Released",I6)))</formula>
    </cfRule>
    <cfRule type="containsText" rank="0" priority="14" equalAverage="0" operator="containsText" aboveAverage="0" dxfId="1" text="Project Owner review" percent="0" bottom="0">
      <formula>NOT(ISERROR(SEARCH("Project Owner review",I6)))</formula>
    </cfRule>
    <cfRule type="containsText" rank="0" priority="15" equalAverage="0" operator="containsText" aboveAverage="0" dxfId="14" text="Pending" percent="0" bottom="0">
      <formula>NOT(ISERROR(SEARCH("Pending",I6)))</formula>
    </cfRule>
    <cfRule type="containsText" rank="0" priority="16" equalAverage="0" operator="containsText" aboveAverage="0" dxfId="0" text="Blocked" percent="0" bottom="0">
      <formula>NOT(ISERROR(SEARCH("Blocked",I6)))</formula>
    </cfRule>
    <cfRule type="containsText" rank="0" priority="17" equalAverage="0" operator="containsText" aboveAverage="0" dxfId="0" text="unresolved" percent="0" bottom="0">
      <formula>NOT(ISERROR(SEARCH("unresolved",I6)))</formula>
    </cfRule>
    <cfRule type="containsText" rank="0" priority="18" equalAverage="0" operator="containsText" aboveAverage="0" dxfId="15" text="Not started" percent="0" bottom="0">
      <formula>NOT(ISERROR(SEARCH("Not started",I6)))</formula>
    </cfRule>
    <cfRule type="containsText" rank="0" priority="19" equalAverage="0" operator="containsText" aboveAverage="0" dxfId="15" text="Not evidenced" percent="0" bottom="0">
      <formula>NOT(ISERROR(SEARCH("Not evidenced",I6)))</formula>
    </cfRule>
  </conditionalFormatting>
  <conditionalFormatting sqref="J6:J55">
    <cfRule type="containsText" rank="0" priority="20" equalAverage="0" operator="containsText" aboveAverage="0" dxfId="13" text="Approved" percent="0" bottom="0">
      <formula>NOT(ISERROR(SEARCH("Approved",J6)))</formula>
    </cfRule>
    <cfRule type="containsText" rank="0" priority="21" equalAverage="0" operator="containsText" aboveAverage="0" dxfId="13" text="Passed" percent="0" bottom="0">
      <formula>NOT(ISERROR(SEARCH("Passed",J6)))</formula>
    </cfRule>
    <cfRule type="containsText" rank="0" priority="22" equalAverage="0" operator="containsText" aboveAverage="0" dxfId="13" text="Released" percent="0" bottom="0">
      <formula>NOT(ISERROR(SEARCH("Released",J6)))</formula>
    </cfRule>
    <cfRule type="containsText" rank="0" priority="23" equalAverage="0" operator="containsText" aboveAverage="0" dxfId="1" text="Project Owner review" percent="0" bottom="0">
      <formula>NOT(ISERROR(SEARCH("Project Owner review",J6)))</formula>
    </cfRule>
    <cfRule type="containsText" rank="0" priority="24" equalAverage="0" operator="containsText" aboveAverage="0" dxfId="14" text="Pending" percent="0" bottom="0">
      <formula>NOT(ISERROR(SEARCH("Pending",J6)))</formula>
    </cfRule>
    <cfRule type="containsText" rank="0" priority="25" equalAverage="0" operator="containsText" aboveAverage="0" dxfId="0" text="Blocked" percent="0" bottom="0">
      <formula>NOT(ISERROR(SEARCH("Blocked",J6)))</formula>
    </cfRule>
    <cfRule type="containsText" rank="0" priority="26" equalAverage="0" operator="containsText" aboveAverage="0" dxfId="0" text="unresolved" percent="0" bottom="0">
      <formula>NOT(ISERROR(SEARCH("unresolved",J6)))</formula>
    </cfRule>
    <cfRule type="containsText" rank="0" priority="27" equalAverage="0" operator="containsText" aboveAverage="0" dxfId="15" text="Not started" percent="0" bottom="0">
      <formula>NOT(ISERROR(SEARCH("Not started",J6)))</formula>
    </cfRule>
    <cfRule type="containsText" rank="0" priority="28" equalAverage="0" operator="containsText" aboveAverage="0" dxfId="15" text="Not evidenced" percent="0" bottom="0">
      <formula>NOT(ISERROR(SEARCH("Not evidenced",J6)))</formula>
    </cfRule>
  </conditionalFormatting>
  <dataValidations count="2">
    <dataValidation sqref="I6:I55" showDropDown="0" showInputMessage="0" showErrorMessage="0" allowBlank="0" type="list" errorStyle="stop" operator="between">
      <formula1>"Not started,Planned,In progress,Implemented,Not evidenced,Not applicable"</formula1>
      <formula2>0</formula2>
    </dataValidation>
    <dataValidation sqref="J6:J55" showDropDown="0" showInputMessage="0" showErrorMessage="0" allowBlank="0" type="list" errorStyle="stop" operator="between">
      <formula1>"Not started,Not evidenced,Pending,Passed,Failed,Not applicable"</formula1>
      <formula2>0</formula2>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tabColor rgb="FF4472C4"/>
    <outlinePr summaryBelow="1" summaryRight="1"/>
    <pageSetUpPr/>
  </sheetPr>
  <dimension ref="A1:Z200"/>
  <sheetViews>
    <sheetView showGridLines="0" workbookViewId="0">
      <pane xSplit="1" ySplit="5" topLeftCell="B6" activePane="bottomRight" state="frozen"/>
      <selection activeCell="A1" sqref="A1"/>
    </sheetView>
  </sheetViews>
  <sheetFormatPr baseColWidth="8" defaultColWidth="8.6796875" defaultRowHeight="15"/>
  <cols>
    <col width="13" customWidth="1" style="14" min="1" max="1"/>
    <col width="31" customWidth="1" style="14" min="2" max="2"/>
    <col width="18" customWidth="1" style="14" min="3" max="3"/>
    <col width="38" customWidth="1" style="14" min="4" max="4"/>
    <col width="14" customWidth="1" style="14" min="5" max="5"/>
    <col width="48" customWidth="1" style="14" min="6" max="6"/>
    <col width="44" customWidth="1" style="14" min="7" max="7"/>
  </cols>
  <sheetData>
    <row r="1" ht="37.5" customHeight="1" s="15">
      <c r="A1" s="16" t="inlineStr">
        <is>
          <t>Future work</t>
        </is>
      </c>
      <c r="H1" s="17" t="n"/>
      <c r="I1" s="17" t="n"/>
      <c r="J1" s="17" t="n"/>
      <c r="K1" s="17" t="n"/>
      <c r="L1" s="17" t="n"/>
      <c r="M1" s="17" t="n"/>
      <c r="N1" s="17" t="n"/>
      <c r="O1" s="17" t="n"/>
      <c r="P1" s="17" t="n"/>
      <c r="Q1" s="17" t="n"/>
      <c r="R1" s="17" t="n"/>
      <c r="S1" s="17" t="n"/>
      <c r="T1" s="17" t="n"/>
      <c r="U1" s="17" t="n"/>
      <c r="V1" s="17" t="n"/>
      <c r="W1" s="17" t="n"/>
      <c r="X1" s="17" t="n"/>
      <c r="Y1" s="17" t="n"/>
      <c r="Z1" s="17" t="n"/>
    </row>
    <row r="2" ht="33.75" customHeight="1" s="15">
      <c r="A2" s="18" t="inlineStr">
        <is>
          <t>Deferred capability remains visible here with an explicit boundary and trigger. This prevents future scope from being mistaken for a current feature or forgotten entirely.</t>
        </is>
      </c>
      <c r="H2" s="17" t="n"/>
      <c r="I2" s="17" t="n"/>
      <c r="J2" s="17" t="n"/>
      <c r="K2" s="17" t="n"/>
      <c r="L2" s="17" t="n"/>
      <c r="M2" s="17" t="n"/>
      <c r="N2" s="17" t="n"/>
      <c r="O2" s="17" t="n"/>
      <c r="P2" s="17" t="n"/>
      <c r="Q2" s="17" t="n"/>
      <c r="R2" s="17" t="n"/>
      <c r="S2" s="17" t="n"/>
      <c r="T2" s="17" t="n"/>
      <c r="U2" s="17" t="n"/>
      <c r="V2" s="17" t="n"/>
      <c r="W2" s="17" t="n"/>
      <c r="X2" s="17" t="n"/>
      <c r="Y2" s="17" t="n"/>
      <c r="Z2" s="17" t="n"/>
    </row>
    <row r="3" ht="15" customHeight="1" s="15">
      <c r="A3" s="17" t="n"/>
      <c r="B3" s="17" t="n"/>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row>
    <row r="4" ht="15" customHeight="1" s="15">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row>
    <row r="5" ht="36" customHeight="1" s="15">
      <c r="A5" s="32" t="inlineStr">
        <is>
          <t>Future ID</t>
        </is>
      </c>
      <c r="B5" s="32" t="inlineStr">
        <is>
          <t>Capability</t>
        </is>
      </c>
      <c r="C5" s="32" t="inlineStr">
        <is>
          <t>Planned wave</t>
        </is>
      </c>
      <c r="D5" s="32" t="inlineStr">
        <is>
          <t>Dependency</t>
        </is>
      </c>
      <c r="E5" s="32" t="inlineStr">
        <is>
          <t>Status</t>
        </is>
      </c>
      <c r="F5" s="32" t="inlineStr">
        <is>
          <t>Current boundary</t>
        </is>
      </c>
      <c r="G5" s="32" t="inlineStr">
        <is>
          <t>Trigger to start</t>
        </is>
      </c>
      <c r="H5" s="17" t="n"/>
      <c r="I5" s="17" t="n"/>
      <c r="J5" s="17" t="n"/>
      <c r="K5" s="17" t="n"/>
      <c r="L5" s="17" t="n"/>
      <c r="M5" s="17" t="n"/>
      <c r="N5" s="17" t="n"/>
      <c r="O5" s="17" t="n"/>
      <c r="P5" s="17" t="n"/>
      <c r="Q5" s="17" t="n"/>
      <c r="R5" s="17" t="n"/>
      <c r="S5" s="17" t="n"/>
      <c r="T5" s="17" t="n"/>
      <c r="U5" s="17" t="n"/>
      <c r="V5" s="17" t="n"/>
      <c r="W5" s="17" t="n"/>
      <c r="X5" s="17" t="n"/>
      <c r="Y5" s="17" t="n"/>
      <c r="Z5" s="17" t="n"/>
    </row>
    <row r="6" ht="43.5" customHeight="1" s="15">
      <c r="A6" s="17" t="inlineStr">
        <is>
          <t>FW-001</t>
        </is>
      </c>
      <c r="B6" s="27" t="inlineStr">
        <is>
          <t>Bid Opening</t>
        </is>
      </c>
      <c r="C6" s="27" t="inlineStr">
        <is>
          <t>Post Gate 1</t>
        </is>
      </c>
      <c r="D6" s="27" t="inlineStr">
        <is>
          <t>Sealed Bid Submission handoff</t>
        </is>
      </c>
      <c r="E6" s="27" t="inlineStr">
        <is>
          <t>Planned</t>
        </is>
      </c>
      <c r="F6" s="27" t="inlineStr">
        <is>
          <t>Not part of BDS v0.7</t>
        </is>
      </c>
      <c r="G6" s="27" t="inlineStr">
        <is>
          <t>Approve a separate Bid Opening requirements change unit.</t>
        </is>
      </c>
      <c r="H6" s="17" t="n"/>
      <c r="I6" s="17" t="n"/>
      <c r="J6" s="17" t="n"/>
      <c r="K6" s="17" t="n"/>
      <c r="L6" s="17" t="n"/>
      <c r="M6" s="17" t="n"/>
      <c r="N6" s="17" t="n"/>
      <c r="O6" s="17" t="n"/>
      <c r="P6" s="17" t="n"/>
      <c r="Q6" s="17" t="n"/>
      <c r="R6" s="17" t="n"/>
      <c r="S6" s="17" t="n"/>
      <c r="T6" s="17" t="n"/>
      <c r="U6" s="17" t="n"/>
      <c r="V6" s="17" t="n"/>
      <c r="W6" s="17" t="n"/>
      <c r="X6" s="17" t="n"/>
      <c r="Y6" s="17" t="n"/>
      <c r="Z6" s="17" t="n"/>
    </row>
    <row r="7" ht="43.5" customHeight="1" s="15">
      <c r="A7" s="17" t="inlineStr">
        <is>
          <t>FW-002</t>
        </is>
      </c>
      <c r="B7" s="27" t="inlineStr">
        <is>
          <t>Evaluation and Award</t>
        </is>
      </c>
      <c r="C7" s="27" t="inlineStr">
        <is>
          <t>Post Gate 1</t>
        </is>
      </c>
      <c r="D7" s="27" t="inlineStr">
        <is>
          <t>Bid Opening; STD evaluation mappings</t>
        </is>
      </c>
      <c r="E7" s="27" t="inlineStr">
        <is>
          <t>Planned</t>
        </is>
      </c>
      <c r="F7" s="27" t="inlineStr">
        <is>
          <t>No evaluation workflow in current Gate 1</t>
        </is>
      </c>
      <c r="G7" s="27" t="inlineStr">
        <is>
          <t>Complete Bid Opening and approve evaluation governance.</t>
        </is>
      </c>
      <c r="H7" s="17" t="n"/>
      <c r="I7" s="17" t="n"/>
      <c r="J7" s="17" t="n"/>
      <c r="K7" s="17" t="n"/>
      <c r="L7" s="17" t="n"/>
      <c r="M7" s="17" t="n"/>
      <c r="N7" s="17" t="n"/>
      <c r="O7" s="17" t="n"/>
      <c r="P7" s="17" t="n"/>
      <c r="Q7" s="17" t="n"/>
      <c r="R7" s="17" t="n"/>
      <c r="S7" s="17" t="n"/>
      <c r="T7" s="17" t="n"/>
      <c r="U7" s="17" t="n"/>
      <c r="V7" s="17" t="n"/>
      <c r="W7" s="17" t="n"/>
      <c r="X7" s="17" t="n"/>
      <c r="Y7" s="17" t="n"/>
      <c r="Z7" s="17" t="n"/>
    </row>
    <row r="8" ht="43.5" customHeight="1" s="15">
      <c r="A8" s="17" t="inlineStr">
        <is>
          <t>FW-003</t>
        </is>
      </c>
      <c r="B8" s="27" t="inlineStr">
        <is>
          <t>Supplier Management and prequalification</t>
        </is>
      </c>
      <c r="C8" s="27" t="inlineStr">
        <is>
          <t>Future programme</t>
        </is>
      </c>
      <c r="D8" s="27" t="inlineStr">
        <is>
          <t>Supplier organisation identity</t>
        </is>
      </c>
      <c r="E8" s="27" t="inlineStr">
        <is>
          <t>Planned</t>
        </is>
      </c>
      <c r="F8" s="27" t="inlineStr">
        <is>
          <t>Current supplier access is tender participation only</t>
        </is>
      </c>
      <c r="G8" s="27" t="inlineStr">
        <is>
          <t>Approve supplier lifecycle and data ownership.</t>
        </is>
      </c>
      <c r="H8" s="17" t="n"/>
      <c r="I8" s="17" t="n"/>
      <c r="J8" s="17" t="n"/>
      <c r="K8" s="17" t="n"/>
      <c r="L8" s="17" t="n"/>
      <c r="M8" s="17" t="n"/>
      <c r="N8" s="17" t="n"/>
      <c r="O8" s="17" t="n"/>
      <c r="P8" s="17" t="n"/>
      <c r="Q8" s="17" t="n"/>
      <c r="R8" s="17" t="n"/>
      <c r="S8" s="17" t="n"/>
      <c r="T8" s="17" t="n"/>
      <c r="U8" s="17" t="n"/>
      <c r="V8" s="17" t="n"/>
      <c r="W8" s="17" t="n"/>
      <c r="X8" s="17" t="n"/>
      <c r="Y8" s="17" t="n"/>
      <c r="Z8" s="17" t="n"/>
    </row>
    <row r="9" ht="43.5" customHeight="1" s="15">
      <c r="A9" s="17" t="inlineStr">
        <is>
          <t>FW-004</t>
        </is>
      </c>
      <c r="B9" s="27" t="inlineStr">
        <is>
          <t>RFQ, Restricted and Direct methods</t>
        </is>
      </c>
      <c r="C9" s="27" t="inlineStr">
        <is>
          <t>Future programme</t>
        </is>
      </c>
      <c r="D9" s="27" t="inlineStr">
        <is>
          <t>Additional method rules and templates</t>
        </is>
      </c>
      <c r="E9" s="27" t="inlineStr">
        <is>
          <t>Planned</t>
        </is>
      </c>
      <c r="F9" s="27" t="inlineStr">
        <is>
          <t>Current controlled template is Open Tender</t>
        </is>
      </c>
      <c r="G9" s="27" t="inlineStr">
        <is>
          <t>Curate and approve each method/product release.</t>
        </is>
      </c>
      <c r="H9" s="17" t="n"/>
      <c r="I9" s="17" t="n"/>
      <c r="J9" s="17" t="n"/>
      <c r="K9" s="17" t="n"/>
      <c r="L9" s="17" t="n"/>
      <c r="M9" s="17" t="n"/>
      <c r="N9" s="17" t="n"/>
      <c r="O9" s="17" t="n"/>
      <c r="P9" s="17" t="n"/>
      <c r="Q9" s="17" t="n"/>
      <c r="R9" s="17" t="n"/>
      <c r="S9" s="17" t="n"/>
      <c r="T9" s="17" t="n"/>
      <c r="U9" s="17" t="n"/>
      <c r="V9" s="17" t="n"/>
      <c r="W9" s="17" t="n"/>
      <c r="X9" s="17" t="n"/>
      <c r="Y9" s="17" t="n"/>
      <c r="Z9" s="17" t="n"/>
    </row>
    <row r="10" ht="43.5" customHeight="1" s="15">
      <c r="A10" s="17" t="inlineStr">
        <is>
          <t>FW-005</t>
        </is>
      </c>
      <c r="B10" s="27" t="inlineStr">
        <is>
          <t>RFP and proposal-based procurement</t>
        </is>
      </c>
      <c r="C10" s="27" t="inlineStr">
        <is>
          <t>Future programme</t>
        </is>
      </c>
      <c r="D10" s="27" t="inlineStr">
        <is>
          <t>Proposal evaluation and negotiation rules</t>
        </is>
      </c>
      <c r="E10" s="27" t="inlineStr">
        <is>
          <t>Planned</t>
        </is>
      </c>
      <c r="F10" s="27" t="inlineStr">
        <is>
          <t>Not covered by IT Equipment Open Tender</t>
        </is>
      </c>
      <c r="G10" s="27" t="inlineStr">
        <is>
          <t>Approve RFP product and evaluation model.</t>
        </is>
      </c>
      <c r="H10" s="17" t="n"/>
      <c r="I10" s="17" t="n"/>
      <c r="J10" s="17" t="n"/>
      <c r="K10" s="17" t="n"/>
      <c r="L10" s="17" t="n"/>
      <c r="M10" s="17" t="n"/>
      <c r="N10" s="17" t="n"/>
      <c r="O10" s="17" t="n"/>
      <c r="P10" s="17" t="n"/>
      <c r="Q10" s="17" t="n"/>
      <c r="R10" s="17" t="n"/>
      <c r="S10" s="17" t="n"/>
      <c r="T10" s="17" t="n"/>
      <c r="U10" s="17" t="n"/>
      <c r="V10" s="17" t="n"/>
      <c r="W10" s="17" t="n"/>
      <c r="X10" s="17" t="n"/>
      <c r="Y10" s="17" t="n"/>
      <c r="Z10" s="17" t="n"/>
    </row>
    <row r="11" ht="43.5" customHeight="1" s="15">
      <c r="A11" s="17" t="inlineStr">
        <is>
          <t>FW-006</t>
        </is>
      </c>
      <c r="B11" s="27" t="inlineStr">
        <is>
          <t>Works tender products</t>
        </is>
      </c>
      <c r="C11" s="27" t="inlineStr">
        <is>
          <t>Future programme</t>
        </is>
      </c>
      <c r="D11" s="27" t="inlineStr">
        <is>
          <t>Works-specific STD release metadata</t>
        </is>
      </c>
      <c r="E11" s="27" t="inlineStr">
        <is>
          <t>Planned</t>
        </is>
      </c>
      <c r="F11" s="27" t="inlineStr">
        <is>
          <t>BDS runtime is extensible but no Works release is approved</t>
        </is>
      </c>
      <c r="G11" s="27" t="inlineStr">
        <is>
          <t>Curate official Works STD and test distinct forms/pricing.</t>
        </is>
      </c>
      <c r="H11" s="17" t="n"/>
      <c r="I11" s="17" t="n"/>
      <c r="J11" s="17" t="n"/>
      <c r="K11" s="17" t="n"/>
      <c r="L11" s="17" t="n"/>
      <c r="M11" s="17" t="n"/>
      <c r="N11" s="17" t="n"/>
      <c r="O11" s="17" t="n"/>
      <c r="P11" s="17" t="n"/>
      <c r="Q11" s="17" t="n"/>
      <c r="R11" s="17" t="n"/>
      <c r="S11" s="17" t="n"/>
      <c r="T11" s="17" t="n"/>
      <c r="U11" s="17" t="n"/>
      <c r="V11" s="17" t="n"/>
      <c r="W11" s="17" t="n"/>
      <c r="X11" s="17" t="n"/>
      <c r="Y11" s="17" t="n"/>
      <c r="Z11" s="17" t="n"/>
    </row>
    <row r="12" ht="43.5" customHeight="1" s="15">
      <c r="A12" s="17" t="inlineStr">
        <is>
          <t>FW-007</t>
        </is>
      </c>
      <c r="B12" s="27" t="inlineStr">
        <is>
          <t>Other Services products</t>
        </is>
      </c>
      <c r="C12" s="27" t="inlineStr">
        <is>
          <t>Future programme</t>
        </is>
      </c>
      <c r="D12" s="27" t="inlineStr">
        <is>
          <t>Services-specific STD release metadata</t>
        </is>
      </c>
      <c r="E12" s="27" t="inlineStr">
        <is>
          <t>Planned</t>
        </is>
      </c>
      <c r="F12" s="27" t="inlineStr">
        <is>
          <t>No approved service product release</t>
        </is>
      </c>
      <c r="G12" s="27" t="inlineStr">
        <is>
          <t>Curate official service STD and response model.</t>
        </is>
      </c>
      <c r="H12" s="17" t="n"/>
      <c r="I12" s="17" t="n"/>
      <c r="J12" s="17" t="n"/>
      <c r="K12" s="17" t="n"/>
      <c r="L12" s="17" t="n"/>
      <c r="M12" s="17" t="n"/>
      <c r="N12" s="17" t="n"/>
      <c r="O12" s="17" t="n"/>
      <c r="P12" s="17" t="n"/>
      <c r="Q12" s="17" t="n"/>
      <c r="R12" s="17" t="n"/>
      <c r="S12" s="17" t="n"/>
      <c r="T12" s="17" t="n"/>
      <c r="U12" s="17" t="n"/>
      <c r="V12" s="17" t="n"/>
      <c r="W12" s="17" t="n"/>
      <c r="X12" s="17" t="n"/>
      <c r="Y12" s="17" t="n"/>
      <c r="Z12" s="17" t="n"/>
    </row>
    <row r="13" ht="43.5" customHeight="1" s="15">
      <c r="A13" s="17" t="inlineStr">
        <is>
          <t>FW-008</t>
        </is>
      </c>
      <c r="B13" s="27" t="inlineStr">
        <is>
          <t>Contract Management</t>
        </is>
      </c>
      <c r="C13" s="27" t="inlineStr">
        <is>
          <t>Future programme</t>
        </is>
      </c>
      <c r="D13" s="27" t="inlineStr">
        <is>
          <t>Award and contract formation</t>
        </is>
      </c>
      <c r="E13" s="27" t="inlineStr">
        <is>
          <t>Planned</t>
        </is>
      </c>
      <c r="F13" s="27" t="inlineStr">
        <is>
          <t>Current contract mappings prepare data only</t>
        </is>
      </c>
      <c r="G13" s="27" t="inlineStr">
        <is>
          <t>Approve contract lifecycle and integration contracts.</t>
        </is>
      </c>
      <c r="H13" s="17" t="n"/>
      <c r="I13" s="17" t="n"/>
      <c r="J13" s="17" t="n"/>
      <c r="K13" s="17" t="n"/>
      <c r="L13" s="17" t="n"/>
      <c r="M13" s="17" t="n"/>
      <c r="N13" s="17" t="n"/>
      <c r="O13" s="17" t="n"/>
      <c r="P13" s="17" t="n"/>
      <c r="Q13" s="17" t="n"/>
      <c r="R13" s="17" t="n"/>
      <c r="S13" s="17" t="n"/>
      <c r="T13" s="17" t="n"/>
      <c r="U13" s="17" t="n"/>
      <c r="V13" s="17" t="n"/>
      <c r="W13" s="17" t="n"/>
      <c r="X13" s="17" t="n"/>
      <c r="Y13" s="17" t="n"/>
      <c r="Z13" s="17" t="n"/>
    </row>
    <row r="14" ht="43.5" customHeight="1" s="15">
      <c r="A14" s="17" t="inlineStr">
        <is>
          <t>FW-009</t>
        </is>
      </c>
      <c r="B14" s="27" t="inlineStr">
        <is>
          <t>IFMIS, inventory, stores and asset integrations</t>
        </is>
      </c>
      <c r="C14" s="27" t="inlineStr">
        <is>
          <t>Future programme</t>
        </is>
      </c>
      <c r="D14" s="27" t="inlineStr">
        <is>
          <t>External interface agreements</t>
        </is>
      </c>
      <c r="E14" s="27" t="inlineStr">
        <is>
          <t>Planned</t>
        </is>
      </c>
      <c r="F14" s="27" t="inlineStr">
        <is>
          <t>No integration mechanism is presumed in MVP</t>
        </is>
      </c>
      <c r="G14" s="27" t="inlineStr">
        <is>
          <t>Agree systems, ownership, security and reconciliation.</t>
        </is>
      </c>
      <c r="H14" s="17" t="n"/>
      <c r="I14" s="17" t="n"/>
      <c r="J14" s="17" t="n"/>
      <c r="K14" s="17" t="n"/>
      <c r="L14" s="17" t="n"/>
      <c r="M14" s="17" t="n"/>
      <c r="N14" s="17" t="n"/>
      <c r="O14" s="17" t="n"/>
      <c r="P14" s="17" t="n"/>
      <c r="Q14" s="17" t="n"/>
      <c r="R14" s="17" t="n"/>
      <c r="S14" s="17" t="n"/>
      <c r="T14" s="17" t="n"/>
      <c r="U14" s="17" t="n"/>
      <c r="V14" s="17" t="n"/>
      <c r="W14" s="17" t="n"/>
      <c r="X14" s="17" t="n"/>
      <c r="Y14" s="17" t="n"/>
      <c r="Z14" s="17" t="n"/>
    </row>
    <row r="15" ht="43.5" customHeight="1" s="15">
      <c r="A15" s="17" t="inlineStr">
        <is>
          <t>FW-010</t>
        </is>
      </c>
      <c r="B15" s="27" t="inlineStr">
        <is>
          <t>Automated publication adapters</t>
        </is>
      </c>
      <c r="C15" s="27" t="inlineStr">
        <is>
          <t>Future enhancement</t>
        </is>
      </c>
      <c r="D15" s="27" t="inlineStr">
        <is>
          <t>Portal/channel integration agreements</t>
        </is>
      </c>
      <c r="E15" s="27" t="inlineStr">
        <is>
          <t>Planned</t>
        </is>
      </c>
      <c r="F15" s="27" t="inlineStr">
        <is>
          <t>MVP supports manual HOPF confirmation</t>
        </is>
      </c>
      <c r="G15" s="27" t="inlineStr">
        <is>
          <t>Approve per-channel adapter and acknowledgement contract.</t>
        </is>
      </c>
      <c r="H15" s="17" t="n"/>
      <c r="I15" s="17" t="n"/>
      <c r="J15" s="17" t="n"/>
      <c r="K15" s="17" t="n"/>
      <c r="L15" s="17" t="n"/>
      <c r="M15" s="17" t="n"/>
      <c r="N15" s="17" t="n"/>
      <c r="O15" s="17" t="n"/>
      <c r="P15" s="17" t="n"/>
      <c r="Q15" s="17" t="n"/>
      <c r="R15" s="17" t="n"/>
      <c r="S15" s="17" t="n"/>
      <c r="T15" s="17" t="n"/>
      <c r="U15" s="17" t="n"/>
      <c r="V15" s="17" t="n"/>
      <c r="W15" s="17" t="n"/>
      <c r="X15" s="17" t="n"/>
      <c r="Y15" s="17" t="n"/>
      <c r="Z15" s="17" t="n"/>
    </row>
    <row r="16" ht="43.5" customHeight="1" s="15">
      <c r="A16" s="17" t="inlineStr">
        <is>
          <t>FW-011</t>
        </is>
      </c>
      <c r="B16" s="27" t="inlineStr">
        <is>
          <t>Default internal read access to current Strategy</t>
        </is>
      </c>
      <c r="C16" s="27" t="inlineStr">
        <is>
          <t>Next access-policy revision</t>
        </is>
      </c>
      <c r="D16" s="27" t="inlineStr">
        <is>
          <t>STR-CHG-001 v1.8; AUTH-ADR-001 effective baseline</t>
        </is>
      </c>
      <c r="E16" s="27" t="inlineStr">
        <is>
          <t>To do</t>
        </is>
      </c>
      <c r="F16" s="27" t="inlineStr">
        <is>
          <t>Review access for enabled internal users to Active Strategy data only. Current assignment-based restrictions remain in force; no Draft, submitted review, approval-task, supplier or public access is approved by this entry.</t>
        </is>
      </c>
      <c r="G16" s="27" t="inlineStr">
        <is>
          <t>Decide baseline read policy versus per-module Reader responsibility; revise STR and AUTH through controlled versions; verify list, detail, export, API and write boundaries.</t>
        </is>
      </c>
      <c r="H16" s="17" t="n"/>
      <c r="I16" s="17" t="n"/>
      <c r="J16" s="17" t="n"/>
      <c r="K16" s="17" t="n"/>
      <c r="L16" s="17" t="n"/>
      <c r="M16" s="17" t="n"/>
      <c r="N16" s="17" t="n"/>
      <c r="O16" s="17" t="n"/>
      <c r="P16" s="17" t="n"/>
      <c r="Q16" s="17" t="n"/>
      <c r="R16" s="17" t="n"/>
      <c r="S16" s="17" t="n"/>
      <c r="T16" s="17" t="n"/>
      <c r="U16" s="17" t="n"/>
      <c r="V16" s="17" t="n"/>
      <c r="W16" s="17" t="n"/>
      <c r="X16" s="17" t="n"/>
      <c r="Y16" s="17" t="n"/>
      <c r="Z16" s="17" t="n"/>
    </row>
    <row r="17" ht="43.5" customHeight="1" s="15">
      <c r="A17" s="17" t="inlineStr">
        <is>
          <t>FW-012</t>
        </is>
      </c>
      <c r="B17" s="27" t="inlineStr">
        <is>
          <t>Production Trust, Signing and Sealed Custody support module</t>
        </is>
      </c>
      <c r="C17" s="27" t="inlineStr">
        <is>
          <t>Later support-module version</t>
        </is>
      </c>
      <c r="D17" s="27" t="inlineStr">
        <is>
          <t>TRUST-ADR-001 v0.1; licensed/accredited provider; legal L1/L2; approved government operating profile; production-equivalent tests</t>
        </is>
      </c>
      <c r="E17" s="27" t="inlineStr">
        <is>
          <t>Planned</t>
        </is>
      </c>
      <c r="F17" s="27" t="inlineStr">
        <is>
          <t>Only synthetic, explicitly labelled test proxies now. BDS v0.8 production bid submission remains disabled and electronic Bid Opening cannot be used for real bids.</t>
        </is>
      </c>
      <c r="G17" s="27" t="inlineStr">
        <is>
          <t>Approve provider/signing method, per-target legal equivalence, custody/key threshold, credentials, recovery, external channel and test/release evidence.</t>
        </is>
      </c>
      <c r="H17" s="17" t="n"/>
      <c r="I17" s="17" t="n"/>
      <c r="J17" s="17" t="n"/>
      <c r="K17" s="17" t="n"/>
      <c r="L17" s="17" t="n"/>
      <c r="M17" s="17" t="n"/>
      <c r="N17" s="17" t="n"/>
      <c r="O17" s="17" t="n"/>
      <c r="P17" s="17" t="n"/>
      <c r="Q17" s="17" t="n"/>
      <c r="R17" s="17" t="n"/>
      <c r="S17" s="17" t="n"/>
      <c r="T17" s="17" t="n"/>
      <c r="U17" s="17" t="n"/>
      <c r="V17" s="17" t="n"/>
      <c r="W17" s="17" t="n"/>
      <c r="X17" s="17" t="n"/>
      <c r="Y17" s="17" t="n"/>
      <c r="Z17" s="17" t="n"/>
    </row>
    <row r="18" ht="43.5" customHeight="1" s="15">
      <c r="A18" s="17" t="inlineStr">
        <is>
          <t>FW-013</t>
        </is>
      </c>
      <c r="B18" s="27" t="inlineStr">
        <is>
          <t>Tender security: No security required method</t>
        </is>
      </c>
      <c r="C18" s="27" t="inlineStr">
        <is>
          <t>Owner decision</t>
        </is>
      </c>
      <c r="D18" s="27" t="inlineStr">
        <is>
          <t>An Owner-approved document variant (source-coverage decision under STD-TPL-001 section 13) for a Tender that states no security is required</t>
        </is>
      </c>
      <c r="E18" s="27" t="inlineStr">
        <is>
          <t>Planned</t>
        </is>
      </c>
      <c r="F18" s="27" t="inlineStr">
        <is>
          <t>Template release 1.5 supports it at response level; the Tender details control does not offer it because the issued documents state a Tender Security is required (ITT 18.2)</t>
        </is>
      </c>
      <c r="G18" s="27" t="inlineStr">
        <is>
          <t>Owner approves a document variant.</t>
        </is>
      </c>
      <c r="H18" s="17" t="n"/>
      <c r="I18" s="17" t="n"/>
      <c r="J18" s="17" t="n"/>
      <c r="K18" s="17" t="n"/>
      <c r="L18" s="17" t="n"/>
      <c r="M18" s="17" t="n"/>
      <c r="N18" s="17" t="n"/>
      <c r="O18" s="17" t="n"/>
      <c r="P18" s="17" t="n"/>
      <c r="Q18" s="17" t="n"/>
      <c r="R18" s="17" t="n"/>
      <c r="S18" s="17" t="n"/>
      <c r="T18" s="17" t="n"/>
      <c r="U18" s="17" t="n"/>
      <c r="V18" s="17" t="n"/>
      <c r="W18" s="17" t="n"/>
      <c r="X18" s="17" t="n"/>
      <c r="Y18" s="17" t="n"/>
      <c r="Z18" s="17" t="n"/>
    </row>
    <row r="19" ht="15" customHeight="1" s="15">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row>
    <row r="20" ht="15" customHeight="1" s="15">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row>
    <row r="21" ht="15" customHeight="1" s="15">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row>
    <row r="22" ht="15" customHeight="1" s="15">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row>
    <row r="23" ht="15" customHeight="1" s="15">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row>
    <row r="24" ht="15" customHeight="1" s="15">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row>
    <row r="25" ht="15" customHeight="1" s="1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row>
    <row r="26" ht="15" customHeight="1" s="15">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row>
    <row r="27" ht="15" customHeight="1" s="15">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row>
    <row r="28" ht="15" customHeight="1" s="15">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row>
    <row r="29" ht="15" customHeight="1" s="15">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row>
    <row r="30" ht="15" customHeight="1" s="15">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row>
    <row r="31" ht="15" customHeight="1" s="15">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row>
    <row r="32" ht="15" customHeight="1" s="15">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row>
    <row r="33" ht="15" customHeight="1" s="15">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row>
    <row r="34" ht="15" customHeight="1" s="15">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row>
    <row r="35" ht="15" customHeight="1" s="1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row>
    <row r="36" ht="15" customHeight="1" s="15">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row>
    <row r="37" ht="15" customHeight="1" s="15">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row>
    <row r="38" ht="15" customHeight="1" s="15">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row>
    <row r="39" ht="15" customHeight="1" s="15">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row>
    <row r="40" ht="15" customHeight="1" s="15">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row>
    <row r="41" ht="15" customHeight="1" s="15">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row>
    <row r="42" ht="15" customHeight="1" s="15">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row>
    <row r="43" ht="15" customHeight="1" s="15">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row>
    <row r="44" ht="15" customHeight="1" s="15">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row>
    <row r="45" ht="15" customHeight="1" s="1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row>
    <row r="46" ht="15" customHeight="1" s="15">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row>
    <row r="47" ht="15" customHeight="1" s="15">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row>
    <row r="48" ht="15" customHeight="1" s="15">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row>
    <row r="49" ht="15" customHeight="1" s="15">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row>
    <row r="50" ht="15" customHeight="1" s="15">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row>
    <row r="51" ht="15" customHeight="1" s="15">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row>
    <row r="52" ht="15" customHeight="1" s="15">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row>
    <row r="53" ht="15" customHeight="1" s="15">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row>
    <row r="54" ht="15" customHeight="1" s="15">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row>
    <row r="55" ht="15" customHeight="1" s="1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row>
    <row r="56" ht="15" customHeight="1" s="15">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row>
    <row r="57" ht="15" customHeight="1" s="15">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row>
    <row r="58" ht="15" customHeight="1" s="15">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row>
    <row r="59" ht="15" customHeight="1" s="15">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row>
    <row r="60" ht="15" customHeight="1" s="15">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row>
    <row r="61" ht="15" customHeight="1" s="15">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row>
    <row r="62" ht="15" customHeight="1" s="15">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row>
    <row r="63" ht="15" customHeight="1" s="15">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row>
    <row r="64" ht="15" customHeight="1" s="15">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row>
    <row r="65" ht="15" customHeight="1" s="15">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row>
    <row r="66" ht="15" customHeight="1" s="15">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row>
    <row r="67" ht="15" customHeight="1" s="15">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row>
    <row r="68" ht="15" customHeight="1" s="15">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row>
    <row r="69" ht="15" customHeight="1" s="15">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row>
    <row r="70" ht="15" customHeight="1" s="15">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row>
    <row r="71" ht="15" customHeight="1" s="15">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row>
    <row r="72" ht="15" customHeight="1" s="15">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row>
    <row r="73" ht="15" customHeight="1" s="15">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row>
    <row r="74" ht="15" customHeight="1" s="15">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row>
    <row r="75" ht="15" customHeight="1" s="15">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row>
    <row r="76" ht="15" customHeight="1" s="15">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row>
    <row r="77" ht="15" customHeight="1" s="15">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row>
    <row r="78" ht="15" customHeight="1" s="15">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row>
    <row r="79" ht="15" customHeight="1" s="15">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row>
    <row r="80" ht="15" customHeight="1" s="15">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row>
    <row r="81" ht="15" customHeight="1" s="15">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row>
    <row r="82" ht="15" customHeight="1" s="15">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row>
    <row r="83" ht="15" customHeight="1" s="15">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row>
    <row r="84" ht="15" customHeight="1" s="15">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row>
    <row r="85" ht="15" customHeight="1" s="15">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row>
    <row r="86" ht="15" customHeight="1" s="15">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row>
    <row r="87" ht="15" customHeight="1" s="15">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row>
    <row r="88" ht="15" customHeight="1" s="15">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row>
    <row r="89" ht="15" customHeight="1" s="15">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row>
    <row r="90" ht="15" customHeight="1" s="15">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row>
    <row r="91" ht="15" customHeight="1" s="15">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row>
    <row r="92" ht="15" customHeight="1" s="15">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row>
    <row r="93" ht="15" customHeight="1" s="15">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row>
    <row r="94" ht="15" customHeight="1" s="15">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row>
    <row r="95" ht="15" customHeight="1" s="15">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row>
    <row r="96" ht="15" customHeight="1" s="15">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row>
    <row r="97" ht="15" customHeight="1" s="15">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row>
    <row r="98" ht="15" customHeight="1" s="15">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row>
    <row r="99" ht="15" customHeight="1" s="15">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row>
    <row r="100" ht="15" customHeight="1" s="15">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row>
    <row r="101" ht="15" customHeight="1" s="15">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row>
    <row r="102" ht="15" customHeight="1" s="15">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row>
    <row r="103" ht="15" customHeight="1" s="15">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row>
    <row r="104" ht="15" customHeight="1" s="15">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row>
    <row r="105" ht="15" customHeight="1" s="15">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row>
    <row r="106" ht="15" customHeight="1" s="15">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row>
    <row r="107" ht="15" customHeight="1" s="15">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row>
    <row r="108" ht="15" customHeight="1" s="15">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row>
    <row r="109" ht="15" customHeight="1" s="15">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row>
    <row r="110" ht="15" customHeight="1" s="15">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row>
    <row r="111" ht="15" customHeight="1" s="15">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row>
    <row r="112" ht="15" customHeight="1" s="15">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row>
    <row r="113" ht="15" customHeight="1" s="15">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row>
    <row r="114" ht="15" customHeight="1" s="15">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row>
    <row r="115" ht="15" customHeight="1" s="15">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row>
    <row r="116" ht="15" customHeight="1" s="15">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row>
    <row r="117" ht="15" customHeight="1" s="15">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row>
    <row r="118" ht="15" customHeight="1" s="15">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row>
    <row r="119" ht="15" customHeight="1" s="15">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row>
    <row r="120" ht="15" customHeight="1" s="15">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row>
    <row r="121" ht="15" customHeight="1" s="15">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row>
    <row r="122" ht="15" customHeight="1" s="15">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row>
    <row r="123" ht="15" customHeight="1" s="15">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row>
    <row r="124" ht="15" customHeight="1" s="15">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row>
    <row r="125" ht="15" customHeight="1" s="15">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row>
    <row r="126" ht="15" customHeight="1" s="15">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row>
    <row r="127" ht="15" customHeight="1" s="15">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row>
    <row r="128" ht="15" customHeight="1" s="15">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row>
    <row r="129" ht="15" customHeight="1" s="15">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row>
    <row r="130" ht="15" customHeight="1" s="15">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row>
    <row r="131" ht="15" customHeight="1" s="15">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row>
    <row r="132" ht="15" customHeight="1" s="15">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row>
    <row r="133" ht="15" customHeight="1" s="15">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row>
    <row r="134" ht="15" customHeight="1" s="15">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row>
    <row r="135" ht="15" customHeight="1" s="15">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row>
    <row r="136" ht="15" customHeight="1" s="15">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row>
    <row r="137" ht="15" customHeight="1" s="15">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row>
    <row r="138" ht="15" customHeight="1" s="15">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row>
    <row r="139" ht="15" customHeight="1" s="15">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row>
    <row r="140" ht="15" customHeight="1" s="15">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row>
    <row r="141" ht="15" customHeight="1" s="15">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row>
    <row r="142" ht="15" customHeight="1" s="15">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row>
    <row r="143" ht="15" customHeight="1" s="15">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row>
    <row r="144" ht="15" customHeight="1" s="15">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row>
    <row r="145" ht="15" customHeight="1" s="15">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row>
    <row r="146" ht="15" customHeight="1" s="15">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row>
    <row r="147" ht="15" customHeight="1" s="15">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row>
    <row r="148" ht="15" customHeight="1" s="15">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row>
    <row r="149" ht="15" customHeight="1" s="15">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row>
    <row r="150" ht="15" customHeight="1" s="15">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row>
    <row r="151" ht="15" customHeight="1" s="15">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row>
    <row r="152" ht="15" customHeight="1" s="15">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row>
    <row r="153" ht="15" customHeight="1" s="15">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row>
    <row r="154" ht="15" customHeight="1" s="15">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row>
    <row r="155" ht="15" customHeight="1" s="15">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row>
    <row r="156" ht="15" customHeight="1" s="15">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row>
    <row r="157" ht="15" customHeight="1" s="15">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row>
    <row r="158" ht="15" customHeight="1" s="15">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row>
    <row r="159" ht="15" customHeight="1" s="15">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row>
    <row r="160" ht="15" customHeight="1" s="15">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row>
    <row r="161" ht="15" customHeight="1" s="15">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row>
    <row r="162" ht="15" customHeight="1" s="15">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row>
    <row r="163" ht="15" customHeight="1" s="15">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row>
    <row r="164" ht="15" customHeight="1" s="15">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row>
    <row r="165" ht="15" customHeight="1" s="15">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row>
    <row r="166" ht="15" customHeight="1" s="15">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row>
    <row r="167" ht="15" customHeight="1" s="15">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row>
    <row r="168" ht="15" customHeight="1" s="15">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row>
    <row r="169" ht="15" customHeight="1" s="15">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row>
    <row r="170" ht="15" customHeight="1" s="15">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row>
    <row r="171" ht="15" customHeight="1" s="15">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row>
    <row r="172" ht="15" customHeight="1" s="15">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row>
    <row r="173" ht="15" customHeight="1" s="15">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row>
    <row r="174" ht="15" customHeight="1" s="15">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row>
    <row r="175" ht="15" customHeight="1" s="15">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row>
    <row r="176" ht="15" customHeight="1" s="15">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row>
    <row r="177" ht="15" customHeight="1" s="15">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row>
    <row r="178" ht="15" customHeight="1" s="15">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row>
    <row r="179" ht="15" customHeight="1" s="15">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row>
    <row r="180" ht="15" customHeight="1" s="15">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row>
    <row r="181" ht="15" customHeight="1" s="15">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row>
    <row r="182" ht="15" customHeight="1" s="15">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row>
    <row r="183" ht="15" customHeight="1" s="15">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row>
    <row r="184" ht="15" customHeight="1" s="15">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row>
    <row r="185" ht="15" customHeight="1" s="15">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row>
    <row r="186" ht="15" customHeight="1" s="15">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row>
    <row r="187" ht="15" customHeight="1" s="15">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row>
    <row r="188" ht="15" customHeight="1" s="15">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row>
    <row r="189" ht="15" customHeight="1" s="15">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row>
    <row r="190" ht="15" customHeight="1" s="15">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row>
    <row r="191" ht="15" customHeight="1" s="15">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row>
    <row r="192" ht="15" customHeight="1" s="15">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row>
    <row r="193" ht="15" customHeight="1" s="15">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row>
    <row r="194" ht="15" customHeight="1" s="15">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row>
    <row r="195" ht="15" customHeight="1" s="15">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row>
    <row r="196" ht="15" customHeight="1" s="15">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row>
    <row r="197" ht="15" customHeight="1" s="15">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row>
    <row r="198" ht="15" customHeight="1" s="15">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row>
    <row r="199" ht="15" customHeight="1" s="15">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row>
    <row r="200" ht="15" customHeight="1" s="15">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row>
  </sheetData>
  <mergeCells count="2">
    <mergeCell ref="A2:G2"/>
    <mergeCell ref="A1:G1"/>
  </mergeCells>
  <conditionalFormatting sqref="E6:E17">
    <cfRule type="containsText" rank="0" priority="2" equalAverage="0" operator="containsText" aboveAverage="0" dxfId="13" text="Approved" percent="0" bottom="0">
      <formula>NOT(ISERROR(SEARCH("Approved",E6)))</formula>
    </cfRule>
    <cfRule type="containsText" rank="0" priority="3" equalAverage="0" operator="containsText" aboveAverage="0" dxfId="13" text="Passed" percent="0" bottom="0">
      <formula>NOT(ISERROR(SEARCH("Passed",E6)))</formula>
    </cfRule>
    <cfRule type="containsText" rank="0" priority="4" equalAverage="0" operator="containsText" aboveAverage="0" dxfId="13" text="Released" percent="0" bottom="0">
      <formula>NOT(ISERROR(SEARCH("Released",E6)))</formula>
    </cfRule>
    <cfRule type="containsText" rank="0" priority="5" equalAverage="0" operator="containsText" aboveAverage="0" dxfId="1" text="Project Owner review" percent="0" bottom="0">
      <formula>NOT(ISERROR(SEARCH("Project Owner review",E6)))</formula>
    </cfRule>
    <cfRule type="containsText" rank="0" priority="6" equalAverage="0" operator="containsText" aboveAverage="0" dxfId="14" text="Pending" percent="0" bottom="0">
      <formula>NOT(ISERROR(SEARCH("Pending",E6)))</formula>
    </cfRule>
    <cfRule type="containsText" rank="0" priority="7" equalAverage="0" operator="containsText" aboveAverage="0" dxfId="0" text="Blocked" percent="0" bottom="0">
      <formula>NOT(ISERROR(SEARCH("Blocked",E6)))</formula>
    </cfRule>
    <cfRule type="containsText" rank="0" priority="8" equalAverage="0" operator="containsText" aboveAverage="0" dxfId="0" text="unresolved" percent="0" bottom="0">
      <formula>NOT(ISERROR(SEARCH("unresolved",E6)))</formula>
    </cfRule>
    <cfRule type="containsText" rank="0" priority="9" equalAverage="0" operator="containsText" aboveAverage="0" dxfId="15" text="Not started" percent="0" bottom="0">
      <formula>NOT(ISERROR(SEARCH("Not started",E6)))</formula>
    </cfRule>
    <cfRule type="containsText" rank="0" priority="10" equalAverage="0" operator="containsText" aboveAverage="0" dxfId="15" text="Not evidenced" percent="0" bottom="0">
      <formula>NOT(ISERROR(SEARCH("Not evidenced",E6)))</formula>
    </cfRule>
  </conditionalFormatting>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tabColor rgb="FF4472C4"/>
    <outlinePr summaryBelow="1" summaryRight="1"/>
    <pageSetUpPr/>
  </sheetPr>
  <dimension ref="A1:Z200"/>
  <sheetViews>
    <sheetView showGridLines="0" workbookViewId="0">
      <pane xSplit="1" ySplit="5" topLeftCell="B6" activePane="bottomRight" state="frozen"/>
      <selection activeCell="A1" sqref="A1"/>
    </sheetView>
  </sheetViews>
  <sheetFormatPr baseColWidth="8" defaultColWidth="8.6796875" defaultRowHeight="15"/>
  <cols>
    <col width="14" customWidth="1" style="14" min="1" max="1"/>
    <col width="12" customWidth="1" style="14" min="2" max="2"/>
    <col width="20" customWidth="1" style="14" min="3" max="3"/>
    <col width="53" customWidth="1" style="14" min="4" max="4"/>
    <col width="14" customWidth="1" style="14" min="5" max="5"/>
    <col width="24" customWidth="1" style="14" min="6" max="6"/>
    <col width="50" customWidth="1" style="14" min="7" max="7"/>
    <col width="38" customWidth="1" style="14" min="8" max="8"/>
    <col width="42" customWidth="1" style="14" min="9" max="9"/>
  </cols>
  <sheetData>
    <row r="1" ht="37.5" customHeight="1" s="15">
      <c r="A1" s="16" t="inlineStr">
        <is>
          <t>Control findings</t>
        </is>
      </c>
      <c r="J1" s="17" t="n"/>
      <c r="K1" s="17" t="n"/>
      <c r="L1" s="17" t="n"/>
      <c r="M1" s="17" t="n"/>
      <c r="N1" s="17" t="n"/>
      <c r="O1" s="17" t="n"/>
      <c r="P1" s="17" t="n"/>
      <c r="Q1" s="17" t="n"/>
      <c r="R1" s="17" t="n"/>
      <c r="S1" s="17" t="n"/>
      <c r="T1" s="17" t="n"/>
      <c r="U1" s="17" t="n"/>
      <c r="V1" s="17" t="n"/>
      <c r="W1" s="17" t="n"/>
      <c r="X1" s="17" t="n"/>
      <c r="Y1" s="17" t="n"/>
      <c r="Z1" s="17" t="n"/>
    </row>
    <row r="2" ht="33.75" customHeight="1" s="15">
      <c r="A2" s="18" t="inlineStr">
        <is>
          <t>Approved version set: 2026-10-11. Proposals up to 2026-10-11 are listed beside it. Design work remains open; CM and template walkthrough deferred.</t>
        </is>
      </c>
      <c r="J2" s="17" t="n"/>
      <c r="K2" s="17" t="n"/>
      <c r="L2" s="17" t="n"/>
      <c r="M2" s="17" t="n"/>
      <c r="N2" s="17" t="n"/>
      <c r="O2" s="17" t="n"/>
      <c r="P2" s="17" t="n"/>
      <c r="Q2" s="17" t="n"/>
      <c r="R2" s="17" t="n"/>
      <c r="S2" s="17" t="n"/>
      <c r="T2" s="17" t="n"/>
      <c r="U2" s="17" t="n"/>
      <c r="V2" s="17" t="n"/>
      <c r="W2" s="17" t="n"/>
      <c r="X2" s="17" t="n"/>
      <c r="Y2" s="17" t="n"/>
      <c r="Z2" s="17" t="n"/>
    </row>
    <row r="3" ht="15" customHeight="1" s="15">
      <c r="A3" s="17" t="n"/>
      <c r="B3" s="17" t="n"/>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row>
    <row r="4" ht="15" customHeight="1" s="15">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row>
    <row r="5" ht="36" customHeight="1" s="15">
      <c r="A5" s="32" t="inlineStr">
        <is>
          <t>Finding ID</t>
        </is>
      </c>
      <c r="B5" s="32" t="inlineStr">
        <is>
          <t>Severity</t>
        </is>
      </c>
      <c r="C5" s="32" t="inlineStr">
        <is>
          <t>Type</t>
        </is>
      </c>
      <c r="D5" s="32" t="inlineStr">
        <is>
          <t>Finding</t>
        </is>
      </c>
      <c r="E5" s="32" t="inlineStr">
        <is>
          <t>Status</t>
        </is>
      </c>
      <c r="F5" s="32" t="inlineStr">
        <is>
          <t>Owner</t>
        </is>
      </c>
      <c r="G5" s="32" t="inlineStr">
        <is>
          <t>Required action</t>
        </is>
      </c>
      <c r="H5" s="32" t="inlineStr">
        <is>
          <t>Blocks</t>
        </is>
      </c>
      <c r="I5" s="32" t="inlineStr">
        <is>
          <t>Evidence</t>
        </is>
      </c>
      <c r="J5" s="17" t="n"/>
      <c r="K5" s="17" t="n"/>
      <c r="L5" s="17" t="n"/>
      <c r="M5" s="17" t="n"/>
      <c r="N5" s="17" t="n"/>
      <c r="O5" s="17" t="n"/>
      <c r="P5" s="17" t="n"/>
      <c r="Q5" s="17" t="n"/>
      <c r="R5" s="17" t="n"/>
      <c r="S5" s="17" t="n"/>
      <c r="T5" s="17" t="n"/>
      <c r="U5" s="17" t="n"/>
      <c r="V5" s="17" t="n"/>
      <c r="W5" s="17" t="n"/>
      <c r="X5" s="17" t="n"/>
      <c r="Y5" s="17" t="n"/>
      <c r="Z5" s="17" t="n"/>
    </row>
    <row r="6" ht="43.5" customHeight="1" s="15">
      <c r="A6" s="17" t="inlineStr">
        <is>
          <t>AUD-001</t>
        </is>
      </c>
      <c r="B6" s="17" t="inlineStr">
        <is>
          <t>High</t>
        </is>
      </c>
      <c r="C6" s="27" t="inlineStr">
        <is>
          <t>Approval</t>
        </is>
      </c>
      <c r="D6" s="27" t="inlineStr">
        <is>
          <t>CFG-CHG-002 v0.16 is the current successor but remains proposed.</t>
        </is>
      </c>
      <c r="E6" s="27" t="inlineStr">
        <is>
          <t>Closed</t>
        </is>
      </c>
      <c r="F6" s="27" t="inlineStr">
        <is>
          <t>Project Owner</t>
        </is>
      </c>
      <c r="G6" s="27" t="inlineStr">
        <is>
          <t>Project Owner approved the current document on 1 October 2026. Implementation and verification remain separately tracked.</t>
        </is>
      </c>
      <c r="H6" s="27" t="inlineStr">
        <is>
          <t>None — document approval recorded</t>
        </is>
      </c>
      <c r="I6" s="27" t="inlineStr">
        <is>
          <t>CFG-CHG-002 v0.16 control block; Project Owner instruction 1 October 2026</t>
        </is>
      </c>
      <c r="J6" s="17" t="n"/>
      <c r="K6" s="17" t="n"/>
      <c r="L6" s="17" t="n"/>
      <c r="M6" s="17" t="n"/>
      <c r="N6" s="17" t="n"/>
      <c r="O6" s="17" t="n"/>
      <c r="P6" s="17" t="n"/>
      <c r="Q6" s="17" t="n"/>
      <c r="R6" s="17" t="n"/>
      <c r="S6" s="17" t="n"/>
      <c r="T6" s="17" t="n"/>
      <c r="U6" s="17" t="n"/>
      <c r="V6" s="17" t="n"/>
      <c r="W6" s="17" t="n"/>
      <c r="X6" s="17" t="n"/>
      <c r="Y6" s="17" t="n"/>
      <c r="Z6" s="17" t="n"/>
    </row>
    <row r="7" ht="43.5" customHeight="1" s="15">
      <c r="A7" s="17" t="inlineStr">
        <is>
          <t>AUD-002</t>
        </is>
      </c>
      <c r="B7" s="17" t="inlineStr">
        <is>
          <t>High</t>
        </is>
      </c>
      <c r="C7" s="27" t="inlineStr">
        <is>
          <t>Approval</t>
        </is>
      </c>
      <c r="D7" s="27" t="inlineStr">
        <is>
          <t>TPR-CHG-001 v0.12 approved on 26 September 2026; v0.11 was proposed and never approved.</t>
        </is>
      </c>
      <c r="E7" s="27" t="inlineStr">
        <is>
          <t>Closed</t>
        </is>
      </c>
      <c r="F7" s="27" t="inlineStr">
        <is>
          <t>Project Owner</t>
        </is>
      </c>
      <c r="G7" s="27" t="inlineStr">
        <is>
          <t>No approval action remains; implementation and verification are tracked separately.</t>
        </is>
      </c>
      <c r="H7" s="27" t="inlineStr">
        <is>
          <t>Authoritative Tender implementation baseline</t>
        </is>
      </c>
      <c r="I7" s="27" t="inlineStr">
        <is>
          <t>TPR-CHG-001 v0.12 approval control block</t>
        </is>
      </c>
      <c r="J7" s="17" t="n"/>
      <c r="K7" s="17" t="n"/>
      <c r="L7" s="17" t="n"/>
      <c r="M7" s="17" t="n"/>
      <c r="N7" s="17" t="n"/>
      <c r="O7" s="17" t="n"/>
      <c r="P7" s="17" t="n"/>
      <c r="Q7" s="17" t="n"/>
      <c r="R7" s="17" t="n"/>
      <c r="S7" s="17" t="n"/>
      <c r="T7" s="17" t="n"/>
      <c r="U7" s="17" t="n"/>
      <c r="V7" s="17" t="n"/>
      <c r="W7" s="17" t="n"/>
      <c r="X7" s="17" t="n"/>
      <c r="Y7" s="17" t="n"/>
      <c r="Z7" s="17" t="n"/>
    </row>
    <row r="8" ht="43.5" customHeight="1" s="15">
      <c r="A8" s="17" t="inlineStr">
        <is>
          <t>AUD-003</t>
        </is>
      </c>
      <c r="B8" s="17" t="inlineStr">
        <is>
          <t>High</t>
        </is>
      </c>
      <c r="C8" s="27" t="inlineStr">
        <is>
          <t>Approval</t>
        </is>
      </c>
      <c r="D8" s="27" t="inlineStr">
        <is>
          <t>BDS-CHG-001 v0.8 approved on 26 September 2026; v0.7 was never approved.</t>
        </is>
      </c>
      <c r="E8" s="27" t="inlineStr">
        <is>
          <t>Closed</t>
        </is>
      </c>
      <c r="F8" s="27" t="inlineStr">
        <is>
          <t>Project Owner</t>
        </is>
      </c>
      <c r="G8" s="27" t="inlineStr">
        <is>
          <t>No further requirement approval for v0.8; retain separate TPR v0.13 dependency and production operating gates.</t>
        </is>
      </c>
      <c r="H8" s="27" t="inlineStr">
        <is>
          <t>None—requirements approval recorded</t>
        </is>
      </c>
      <c r="I8" s="27" t="inlineStr">
        <is>
          <t>BDS-CHG-001 v0.8 approval record</t>
        </is>
      </c>
      <c r="J8" s="17" t="n"/>
      <c r="K8" s="17" t="n"/>
      <c r="L8" s="17" t="n"/>
      <c r="M8" s="17" t="n"/>
      <c r="N8" s="17" t="n"/>
      <c r="O8" s="17" t="n"/>
      <c r="P8" s="17" t="n"/>
      <c r="Q8" s="17" t="n"/>
      <c r="R8" s="17" t="n"/>
      <c r="S8" s="17" t="n"/>
      <c r="T8" s="17" t="n"/>
      <c r="U8" s="17" t="n"/>
      <c r="V8" s="17" t="n"/>
      <c r="W8" s="17" t="n"/>
      <c r="X8" s="17" t="n"/>
      <c r="Y8" s="17" t="n"/>
      <c r="Z8" s="17" t="n"/>
    </row>
    <row r="9" ht="43.5" customHeight="1" s="15">
      <c r="A9" s="17" t="inlineStr">
        <is>
          <t>AUD-004</t>
        </is>
      </c>
      <c r="B9" s="17" t="inlineStr">
        <is>
          <t>High</t>
        </is>
      </c>
      <c r="C9" s="27" t="inlineStr">
        <is>
          <t>Approval</t>
        </is>
      </c>
      <c r="D9" s="27" t="inlineStr">
        <is>
          <t>STD-TPL-001 v0.10 was approved by the Project Owner on 26 September 2026.</t>
        </is>
      </c>
      <c r="E9" s="27" t="inlineStr">
        <is>
          <t>Resolved</t>
        </is>
      </c>
      <c r="F9" s="27" t="inlineStr">
        <is>
          <t>Project Owner</t>
        </is>
      </c>
      <c r="G9" s="27" t="inlineStr">
        <is>
          <t>No further document-approval action.</t>
        </is>
      </c>
      <c r="H9" s="27" t="inlineStr">
        <is>
          <t>None</t>
        </is>
      </c>
      <c r="I9" s="27" t="inlineStr">
        <is>
          <t>STD-TPL-001 v0.10 approval block, 26 September 2026</t>
        </is>
      </c>
      <c r="J9" s="17" t="n"/>
      <c r="K9" s="17" t="n"/>
      <c r="L9" s="17" t="n"/>
      <c r="M9" s="17" t="n"/>
      <c r="N9" s="17" t="n"/>
      <c r="O9" s="17" t="n"/>
      <c r="P9" s="17" t="n"/>
      <c r="Q9" s="17" t="n"/>
      <c r="R9" s="17" t="n"/>
      <c r="S9" s="17" t="n"/>
      <c r="T9" s="17" t="n"/>
      <c r="U9" s="17" t="n"/>
      <c r="V9" s="17" t="n"/>
      <c r="W9" s="17" t="n"/>
      <c r="X9" s="17" t="n"/>
      <c r="Y9" s="17" t="n"/>
      <c r="Z9" s="17" t="n"/>
    </row>
    <row r="10" ht="43.5" customHeight="1" s="15">
      <c r="A10" s="17" t="inlineStr">
        <is>
          <t>AUD-005</t>
        </is>
      </c>
      <c r="B10" s="17" t="inlineStr">
        <is>
          <t>High</t>
        </is>
      </c>
      <c r="C10" s="27" t="inlineStr">
        <is>
          <t>Approval</t>
        </is>
      </c>
      <c r="D10" s="27" t="inlineStr">
        <is>
          <t>G1-REG-001 v1.1 implementation handoff remains proposed.</t>
        </is>
      </c>
      <c r="E10" s="27" t="inlineStr">
        <is>
          <t>Closed</t>
        </is>
      </c>
      <c r="F10" s="27" t="inlineStr">
        <is>
          <t>Project Owner</t>
        </is>
      </c>
      <c r="G10" s="27" t="inlineStr">
        <is>
          <t>Project Owner approved the current document on 1 October 2026. Implementation and verification remain separately tracked.</t>
        </is>
      </c>
      <c r="H10" s="27" t="inlineStr">
        <is>
          <t>None — document approval recorded</t>
        </is>
      </c>
      <c r="I10" s="27" t="inlineStr">
        <is>
          <t>G1-REG-001 v1.1 control block; Project Owner instruction 1 October 2026</t>
        </is>
      </c>
      <c r="J10" s="17" t="n"/>
      <c r="K10" s="17" t="n"/>
      <c r="L10" s="17" t="n"/>
      <c r="M10" s="17" t="n"/>
      <c r="N10" s="17" t="n"/>
      <c r="O10" s="17" t="n"/>
      <c r="P10" s="17" t="n"/>
      <c r="Q10" s="17" t="n"/>
      <c r="R10" s="17" t="n"/>
      <c r="S10" s="17" t="n"/>
      <c r="T10" s="17" t="n"/>
      <c r="U10" s="17" t="n"/>
      <c r="V10" s="17" t="n"/>
      <c r="W10" s="17" t="n"/>
      <c r="X10" s="17" t="n"/>
      <c r="Y10" s="17" t="n"/>
      <c r="Z10" s="17" t="n"/>
    </row>
    <row r="11" ht="43.5" customHeight="1" s="15">
      <c r="A11" s="17" t="inlineStr">
        <is>
          <t>AUD-006</t>
        </is>
      </c>
      <c r="B11" s="17" t="inlineStr">
        <is>
          <t>Critical</t>
        </is>
      </c>
      <c r="C11" s="27" t="inlineStr">
        <is>
          <t>Bundle readiness</t>
        </is>
      </c>
      <c r="D11" s="27" t="inlineStr">
        <is>
          <t>The earlier IT Equipment candidate ZIP has not been reconciled and installed as a verified release under amended STD-TPL-001 v0.10.</t>
        </is>
      </c>
      <c r="E11" s="27" t="inlineStr">
        <is>
          <t>Open</t>
        </is>
      </c>
      <c r="F11" s="27" t="inlineStr">
        <is>
          <t>Controlled release owner</t>
        </is>
      </c>
      <c r="G11" s="27" t="inlineStr">
        <is>
          <t>Rebuild and verify the bundle; install with matching assets and renderer, then Administrator may turn it On.</t>
        </is>
      </c>
      <c r="H11" s="27" t="inlineStr">
        <is>
          <t>Tender publication and production Bid Submission</t>
        </is>
      </c>
      <c r="I11" s="27" t="inlineStr">
        <is>
          <t>STD-TPL-001 v0.10 in-version amendment; FU-01 OD5; earlier candidate ZIP</t>
        </is>
      </c>
      <c r="J11" s="17" t="n"/>
      <c r="K11" s="17" t="n"/>
      <c r="L11" s="17" t="n"/>
      <c r="M11" s="17" t="n"/>
      <c r="N11" s="17" t="n"/>
      <c r="O11" s="17" t="n"/>
      <c r="P11" s="17" t="n"/>
      <c r="Q11" s="17" t="n"/>
      <c r="R11" s="17" t="n"/>
      <c r="S11" s="17" t="n"/>
      <c r="T11" s="17" t="n"/>
      <c r="U11" s="17" t="n"/>
      <c r="V11" s="17" t="n"/>
      <c r="W11" s="17" t="n"/>
      <c r="X11" s="17" t="n"/>
      <c r="Y11" s="17" t="n"/>
      <c r="Z11" s="17" t="n"/>
    </row>
    <row r="12" ht="43.5" customHeight="1" s="15">
      <c r="A12" s="17" t="inlineStr">
        <is>
          <t>AUD-007</t>
        </is>
      </c>
      <c r="B12" s="17" t="inlineStr">
        <is>
          <t>Critical</t>
        </is>
      </c>
      <c r="C12" s="27" t="inlineStr">
        <is>
          <t>Operating gate</t>
        </is>
      </c>
      <c r="D12" s="27" t="inlineStr">
        <is>
          <t>Production electronic submission operating profile is not yet approved.</t>
        </is>
      </c>
      <c r="E12" s="27" t="inlineStr">
        <is>
          <t>Open</t>
        </is>
      </c>
      <c r="F12" s="27" t="inlineStr">
        <is>
          <t>Project Owner / Operations</t>
        </is>
      </c>
      <c r="G12" s="27" t="inlineStr">
        <is>
          <t>Approve support, monitoring, recovery, authority and incident arrangements; then enable the deployment flag.</t>
        </is>
      </c>
      <c r="H12" s="27" t="inlineStr">
        <is>
          <t>Production submission</t>
        </is>
      </c>
      <c r="I12" s="27" t="inlineStr">
        <is>
          <t>BDS-CHG-001 v0.8; G1-REG-001 v1.1</t>
        </is>
      </c>
      <c r="J12" s="17" t="n"/>
      <c r="K12" s="17" t="n"/>
      <c r="L12" s="17" t="n"/>
      <c r="M12" s="17" t="n"/>
      <c r="N12" s="17" t="n"/>
      <c r="O12" s="17" t="n"/>
      <c r="P12" s="17" t="n"/>
      <c r="Q12" s="17" t="n"/>
      <c r="R12" s="17" t="n"/>
      <c r="S12" s="17" t="n"/>
      <c r="T12" s="17" t="n"/>
      <c r="U12" s="17" t="n"/>
      <c r="V12" s="17" t="n"/>
      <c r="W12" s="17" t="n"/>
      <c r="X12" s="17" t="n"/>
      <c r="Y12" s="17" t="n"/>
      <c r="Z12" s="17" t="n"/>
    </row>
    <row r="13" ht="43.5" customHeight="1" s="15">
      <c r="A13" s="17" t="inlineStr">
        <is>
          <t>AUD-008</t>
        </is>
      </c>
      <c r="B13" s="17" t="inlineStr">
        <is>
          <t>High</t>
        </is>
      </c>
      <c r="C13" s="27" t="inlineStr">
        <is>
          <t>Reconciliation</t>
        </is>
      </c>
      <c r="D13" s="27" t="inlineStr">
        <is>
          <t>SEED-001 v1.3 predates the final reservation, Gate 1 public/vendor and approved workflow-guidance changes in PLN v1.27, BUD v1.11, REQ v1.12 and KT-STD v1.8.</t>
        </is>
      </c>
      <c r="E13" s="27" t="inlineStr">
        <is>
          <t>Open</t>
        </is>
      </c>
      <c r="F13" s="27" t="inlineStr">
        <is>
          <t>Requirements owner</t>
        </is>
      </c>
      <c r="G13" s="27" t="inlineStr">
        <is>
          <t>Issue a reconciled fixture version before integrated verification. Also state that the canonical seed covers every module stage as it is built (DEC-028), replacing v1.3 §5.2's "No opening/evaluation/award actual generated by this seed". Carry forward SEED-OPS §11 decisions D1–D4, D7–D8 and D19–D20 into their named document successors. Keep unresolved D5–D6 and D9–D18 open; KT-STD v1.13 is approved; remaining fixture amendments stay open. Generated references are authoritative under DEC-027; static examples must not become alternate seeded tenders. Also tell the four-bid canonical story (DEC-038).</t>
        </is>
      </c>
      <c r="H13" s="27" t="inlineStr">
        <is>
          <t>Reliable end-to-end seed tests</t>
        </is>
      </c>
      <c r="I13" s="27" t="inlineStr">
        <is>
          <t>SEED-001 v1.3 compared with current baseline</t>
        </is>
      </c>
      <c r="J13" s="17" t="n"/>
      <c r="K13" s="17" t="n"/>
      <c r="L13" s="17" t="n"/>
      <c r="M13" s="17" t="n"/>
      <c r="N13" s="17" t="n"/>
      <c r="O13" s="17" t="n"/>
      <c r="P13" s="17" t="n"/>
      <c r="Q13" s="17" t="n"/>
      <c r="R13" s="17" t="n"/>
      <c r="S13" s="17" t="n"/>
      <c r="T13" s="17" t="n"/>
      <c r="U13" s="17" t="n"/>
      <c r="V13" s="17" t="n"/>
      <c r="W13" s="17" t="n"/>
      <c r="X13" s="17" t="n"/>
      <c r="Y13" s="17" t="n"/>
      <c r="Z13" s="17" t="n"/>
    </row>
    <row r="14" ht="43.5" customHeight="1" s="15">
      <c r="A14" s="17" t="inlineStr">
        <is>
          <t>AUD-009</t>
        </is>
      </c>
      <c r="B14" s="17" t="inlineStr">
        <is>
          <t>Medium</t>
        </is>
      </c>
      <c r="C14" s="27" t="inlineStr">
        <is>
          <t>Stale reference</t>
        </is>
      </c>
      <c r="D14" s="27" t="inlineStr">
        <is>
          <t>RES-IMP-001 v1.0 predates the current PLN v1.27, BUD v1.11, REQ v1.12, TPR v0.11, STD-TPL v0.10 and BDS v0.7 baseline.</t>
        </is>
      </c>
      <c r="E14" s="27" t="inlineStr">
        <is>
          <t>Open</t>
        </is>
      </c>
      <c r="F14" s="27" t="inlineStr">
        <is>
          <t>Requirements owner</t>
        </is>
      </c>
      <c r="G14" s="27" t="inlineStr">
        <is>
          <t>Refresh document references without changing the approved legal decision.</t>
        </is>
      </c>
      <c r="H14" s="27" t="inlineStr">
        <is>
          <t>Clean reservation implementation handoff</t>
        </is>
      </c>
      <c r="I14" s="27" t="inlineStr">
        <is>
          <t>RES-IMP-001 v1.0 references</t>
        </is>
      </c>
      <c r="J14" s="17" t="n"/>
      <c r="K14" s="17" t="n"/>
      <c r="L14" s="17" t="n"/>
      <c r="M14" s="17" t="n"/>
      <c r="N14" s="17" t="n"/>
      <c r="O14" s="17" t="n"/>
      <c r="P14" s="17" t="n"/>
      <c r="Q14" s="17" t="n"/>
      <c r="R14" s="17" t="n"/>
      <c r="S14" s="17" t="n"/>
      <c r="T14" s="17" t="n"/>
      <c r="U14" s="17" t="n"/>
      <c r="V14" s="17" t="n"/>
      <c r="W14" s="17" t="n"/>
      <c r="X14" s="17" t="n"/>
      <c r="Y14" s="17" t="n"/>
      <c r="Z14" s="17" t="n"/>
    </row>
    <row r="15" ht="43.5" customHeight="1" s="15">
      <c r="A15" s="17" t="inlineStr">
        <is>
          <t>AUD-010</t>
        </is>
      </c>
      <c r="B15" s="17" t="inlineStr">
        <is>
          <t>High</t>
        </is>
      </c>
      <c r="C15" s="27" t="inlineStr">
        <is>
          <t>Missing controlled file</t>
        </is>
      </c>
      <c r="D15" s="27" t="inlineStr">
        <is>
          <t>STD-STD-001 v1.1 is referenced but the exact controlled file was not resolved in the admitted set.</t>
        </is>
      </c>
      <c r="E15" s="27" t="inlineStr">
        <is>
          <t>Open</t>
        </is>
      </c>
      <c r="F15" s="27" t="inlineStr">
        <is>
          <t>Documentation owner</t>
        </is>
      </c>
      <c r="G15" s="27" t="inlineStr">
        <is>
          <t>Locate or admit the exact version and record its authority.</t>
        </is>
      </c>
      <c r="H15" s="27" t="inlineStr">
        <is>
          <t>Complete template/tender/bid traceability</t>
        </is>
      </c>
      <c r="I15" s="27" t="inlineStr">
        <is>
          <t>References in current controlled documents</t>
        </is>
      </c>
      <c r="J15" s="17" t="n"/>
      <c r="K15" s="17" t="n"/>
      <c r="L15" s="17" t="n"/>
      <c r="M15" s="17" t="n"/>
      <c r="N15" s="17" t="n"/>
      <c r="O15" s="17" t="n"/>
      <c r="P15" s="17" t="n"/>
      <c r="Q15" s="17" t="n"/>
      <c r="R15" s="17" t="n"/>
      <c r="S15" s="17" t="n"/>
      <c r="T15" s="17" t="n"/>
      <c r="U15" s="17" t="n"/>
      <c r="V15" s="17" t="n"/>
      <c r="W15" s="17" t="n"/>
      <c r="X15" s="17" t="n"/>
      <c r="Y15" s="17" t="n"/>
      <c r="Z15" s="17" t="n"/>
    </row>
    <row r="16" ht="43.5" customHeight="1" s="15">
      <c r="A16" s="17" t="inlineStr">
        <is>
          <t>AUD-011</t>
        </is>
      </c>
      <c r="B16" s="17" t="inlineStr">
        <is>
          <t>High</t>
        </is>
      </c>
      <c r="C16" s="27" t="inlineStr">
        <is>
          <t>Missing controlled file</t>
        </is>
      </c>
      <c r="D16" s="27" t="inlineStr">
        <is>
          <t>STD-ST-001 v0.5 is referenced but the exact controlled file was not resolved in the admitted set.</t>
        </is>
      </c>
      <c r="E16" s="27" t="inlineStr">
        <is>
          <t>Resolved</t>
        </is>
      </c>
      <c r="F16" s="27" t="inlineStr">
        <is>
          <t>Documentation owner</t>
        </is>
      </c>
      <c r="G16" s="27" t="inlineStr">
        <is>
          <t>Exact v0.5 file supplied 2 October 2026 and recorded in the STD-ST-001 entry; library admission and file ID remain for the documentation owner. (Before 2 October 2026 read: Locate or admit the exact version before integrated stress testing.)</t>
        </is>
      </c>
      <c r="H16" s="27" t="inlineStr">
        <is>
          <t>None for file resolution; see AUD-023 for its approval-effect condition. (Before 2 October 2026 read: Gate 1 integrated verification)</t>
        </is>
      </c>
      <c r="I16" s="27" t="inlineStr">
        <is>
          <t>References in current controlled documents; KenTender_STD-ST-001_STD-ADR-002_Manual_End-to-End_Stress_Test_v0_5.md control table: Version 0.5, Status Approved, Approved on 11 September 2026</t>
        </is>
      </c>
      <c r="J16" s="17" t="n"/>
      <c r="K16" s="17" t="n"/>
      <c r="L16" s="17" t="n"/>
      <c r="M16" s="17" t="n"/>
      <c r="N16" s="17" t="n"/>
      <c r="O16" s="17" t="n"/>
      <c r="P16" s="17" t="n"/>
      <c r="Q16" s="17" t="n"/>
      <c r="R16" s="17" t="n"/>
      <c r="S16" s="17" t="n"/>
      <c r="T16" s="17" t="n"/>
      <c r="U16" s="17" t="n"/>
      <c r="V16" s="17" t="n"/>
      <c r="W16" s="17" t="n"/>
      <c r="X16" s="17" t="n"/>
      <c r="Y16" s="17" t="n"/>
      <c r="Z16" s="17" t="n"/>
    </row>
    <row r="17" ht="43.5" customHeight="1" s="15">
      <c r="A17" s="17" t="inlineStr">
        <is>
          <t>AUD-012</t>
        </is>
      </c>
      <c r="B17" s="17" t="inlineStr">
        <is>
          <t>Info</t>
        </is>
      </c>
      <c r="C17" s="27" t="inlineStr">
        <is>
          <t>Scope boundary</t>
        </is>
      </c>
      <c r="D17" s="27" t="inlineStr">
        <is>
          <t>Roadmap capabilities beyond sealed Bid Submission are deliberately retained as future work.</t>
        </is>
      </c>
      <c r="E17" s="27" t="inlineStr">
        <is>
          <t>Controlled</t>
        </is>
      </c>
      <c r="F17" s="27" t="inlineStr">
        <is>
          <t>Programme owner</t>
        </is>
      </c>
      <c r="G17" s="27" t="inlineStr">
        <is>
          <t>Create separate change units when each future capability is authorised.</t>
        </is>
      </c>
      <c r="H17" s="27" t="inlineStr">
        <is>
          <t>Nothing in Gate 1</t>
        </is>
      </c>
      <c r="I17" s="27" t="inlineStr">
        <is>
          <t>KT-RCA-001 v1.1; G1-REG-001 v1.1</t>
        </is>
      </c>
      <c r="J17" s="17" t="n"/>
      <c r="K17" s="17" t="n"/>
      <c r="L17" s="17" t="n"/>
      <c r="M17" s="17" t="n"/>
      <c r="N17" s="17" t="n"/>
      <c r="O17" s="17" t="n"/>
      <c r="P17" s="17" t="n"/>
      <c r="Q17" s="17" t="n"/>
      <c r="R17" s="17" t="n"/>
      <c r="S17" s="17" t="n"/>
      <c r="T17" s="17" t="n"/>
      <c r="U17" s="17" t="n"/>
      <c r="V17" s="17" t="n"/>
      <c r="W17" s="17" t="n"/>
      <c r="X17" s="17" t="n"/>
      <c r="Y17" s="17" t="n"/>
      <c r="Z17" s="17" t="n"/>
    </row>
    <row r="18" ht="43.5" customHeight="1" s="15">
      <c r="A18" s="17" t="inlineStr">
        <is>
          <t>AUD-013</t>
        </is>
      </c>
      <c r="B18" s="17" t="inlineStr">
        <is>
          <t>High</t>
        </is>
      </c>
      <c r="C18" s="27" t="inlineStr">
        <is>
          <t>Cross-module adoption</t>
        </is>
      </c>
      <c r="D18" s="27" t="inlineStr">
        <is>
          <t>KT-STD-001 v1.9 is approved, but complete implementation evidence for its next-step, guard-reason, hand-off, My Work, Home and no-dead-end contracts does not yet exist across the active modules.</t>
        </is>
      </c>
      <c r="E18" s="27" t="inlineStr">
        <is>
          <t>Open</t>
        </is>
      </c>
      <c r="F18" s="27" t="inlineStr">
        <is>
          <t>Requirements and implementation owners</t>
        </is>
      </c>
      <c r="G18" s="27" t="inlineStr">
        <is>
          <t>Adopt the shared contract in each active module and run persona/state conformance tests.</t>
        </is>
      </c>
      <c r="H18" s="27" t="inlineStr">
        <is>
          <t>Usability-complete Gate 1 verification</t>
        </is>
      </c>
      <c r="I18" s="27" t="inlineStr">
        <is>
          <t>KT-STD-001 v1.9; PLN-CHG-001 v1.27; Workflow Guidance Standard</t>
        </is>
      </c>
      <c r="J18" s="17" t="n"/>
      <c r="K18" s="17" t="n"/>
      <c r="L18" s="17" t="n"/>
      <c r="M18" s="17" t="n"/>
      <c r="N18" s="17" t="n"/>
      <c r="O18" s="17" t="n"/>
      <c r="P18" s="17" t="n"/>
      <c r="Q18" s="17" t="n"/>
      <c r="R18" s="17" t="n"/>
      <c r="S18" s="17" t="n"/>
      <c r="T18" s="17" t="n"/>
      <c r="U18" s="17" t="n"/>
      <c r="V18" s="17" t="n"/>
      <c r="W18" s="17" t="n"/>
      <c r="X18" s="17" t="n"/>
      <c r="Y18" s="17" t="n"/>
      <c r="Z18" s="17" t="n"/>
    </row>
    <row r="19" ht="43.5" customHeight="1" s="15">
      <c r="A19" s="17" t="inlineStr">
        <is>
          <t>AUD-014</t>
        </is>
      </c>
      <c r="B19" s="17" t="inlineStr">
        <is>
          <t>High</t>
        </is>
      </c>
      <c r="C19" s="27" t="inlineStr">
        <is>
          <t>Implementation handoff</t>
        </is>
      </c>
      <c r="D19" s="27" t="inlineStr">
        <is>
          <t>G1-REG-001 v1.1 now reconciles PLN v1.27, BUD v1.11, REQ v1.12 and the STD runtime closure, but SEED-001 v1.3 still predates them.</t>
        </is>
      </c>
      <c r="E19" s="27" t="inlineStr">
        <is>
          <t>Open</t>
        </is>
      </c>
      <c r="F19" s="27" t="inlineStr">
        <is>
          <t>Requirements owner</t>
        </is>
      </c>
      <c r="G19" s="27" t="inlineStr">
        <is>
          <t>Issue a controlled SEED successor before integrated implementation verification.</t>
        </is>
      </c>
      <c r="H19" s="27" t="inlineStr">
        <is>
          <t>One reproducible end-to-end test baseline</t>
        </is>
      </c>
      <c r="I19" s="27" t="inlineStr">
        <is>
          <t>G1-REG-001 v1.1; SEED-001 v1.3 compared with current baseline</t>
        </is>
      </c>
      <c r="J19" s="17" t="n"/>
      <c r="K19" s="17" t="n"/>
      <c r="L19" s="17" t="n"/>
      <c r="M19" s="17" t="n"/>
      <c r="N19" s="17" t="n"/>
      <c r="O19" s="17" t="n"/>
      <c r="P19" s="17" t="n"/>
      <c r="Q19" s="17" t="n"/>
      <c r="R19" s="17" t="n"/>
      <c r="S19" s="17" t="n"/>
      <c r="T19" s="17" t="n"/>
      <c r="U19" s="17" t="n"/>
      <c r="V19" s="17" t="n"/>
      <c r="W19" s="17" t="n"/>
      <c r="X19" s="17" t="n"/>
      <c r="Y19" s="17" t="n"/>
      <c r="Z19" s="17" t="n"/>
    </row>
    <row r="20" ht="43.5" customHeight="1" s="15">
      <c r="A20" s="17" t="inlineStr">
        <is>
          <t>AUD-015</t>
        </is>
      </c>
      <c r="B20" s="17" t="inlineStr">
        <is>
          <t>High</t>
        </is>
      </c>
      <c r="C20" s="27" t="inlineStr">
        <is>
          <t>Approval</t>
        </is>
      </c>
      <c r="D20" s="27" t="inlineStr">
        <is>
          <t>STD-TPL-IMP-001 v1.1 was approved by the Project Owner on 26 September 2026; v1.0 was never approved.</t>
        </is>
      </c>
      <c r="E20" s="27" t="inlineStr">
        <is>
          <t>Resolved</t>
        </is>
      </c>
      <c r="F20" s="27" t="inlineStr">
        <is>
          <t>Project Owner</t>
        </is>
      </c>
      <c r="G20" s="27" t="inlineStr">
        <is>
          <t>Implement v1.1 and reconcile named consumer documents to OD5.</t>
        </is>
      </c>
      <c r="H20" s="27" t="inlineStr">
        <is>
          <t>None for implementation authority; consumer reconciliation remains</t>
        </is>
      </c>
      <c r="I20" s="27" t="inlineStr">
        <is>
          <t>STD-TPL-IMP-001 v1.1 approval block; Project Owner instruction 26 September 2026</t>
        </is>
      </c>
      <c r="J20" s="17" t="n"/>
      <c r="K20" s="17" t="n"/>
      <c r="L20" s="17" t="n"/>
      <c r="M20" s="17" t="n"/>
      <c r="N20" s="17" t="n"/>
      <c r="O20" s="17" t="n"/>
      <c r="P20" s="17" t="n"/>
      <c r="Q20" s="17" t="n"/>
      <c r="R20" s="17" t="n"/>
      <c r="S20" s="17" t="n"/>
      <c r="T20" s="17" t="n"/>
      <c r="U20" s="17" t="n"/>
      <c r="V20" s="17" t="n"/>
      <c r="W20" s="17" t="n"/>
      <c r="X20" s="17" t="n"/>
      <c r="Y20" s="17" t="n"/>
      <c r="Z20" s="17" t="n"/>
    </row>
    <row r="21" ht="43.5" customHeight="1" s="15">
      <c r="A21" s="17" t="inlineStr">
        <is>
          <t>AUD-016</t>
        </is>
      </c>
      <c r="B21" s="17" t="inlineStr">
        <is>
          <t>Medium</t>
        </is>
      </c>
      <c r="C21" s="27" t="inlineStr">
        <is>
          <t>Approval</t>
        </is>
      </c>
      <c r="D21" s="27" t="inlineStr">
        <is>
          <t>AUTH-ADR-001 v1.10 is proposed; approved v1.9 remains effective and does not yet grant Procurement Officer/HOPF STD inspection.</t>
        </is>
      </c>
      <c r="E21" s="27" t="inlineStr">
        <is>
          <t>Closed</t>
        </is>
      </c>
      <c r="F21" s="27" t="inlineStr">
        <is>
          <t>Project Owner</t>
        </is>
      </c>
      <c r="G21" s="27" t="inlineStr">
        <is>
          <t>Project Owner approved the current document on 1 October 2026. Implementation and verification remain separately tracked.</t>
        </is>
      </c>
      <c r="H21" s="27" t="inlineStr">
        <is>
          <t>None — document approval recorded</t>
        </is>
      </c>
      <c r="I21" s="27" t="inlineStr">
        <is>
          <t>AUTH-ADR-001 v1.10 control block; Project Owner instruction 1 October 2026</t>
        </is>
      </c>
      <c r="J21" s="17" t="n"/>
      <c r="K21" s="17" t="n"/>
      <c r="L21" s="17" t="n"/>
      <c r="M21" s="17" t="n"/>
      <c r="N21" s="17" t="n"/>
      <c r="O21" s="17" t="n"/>
      <c r="P21" s="17" t="n"/>
      <c r="Q21" s="17" t="n"/>
      <c r="R21" s="17" t="n"/>
      <c r="S21" s="17" t="n"/>
      <c r="T21" s="17" t="n"/>
      <c r="U21" s="17" t="n"/>
      <c r="V21" s="17" t="n"/>
      <c r="W21" s="17" t="n"/>
      <c r="X21" s="17" t="n"/>
      <c r="Y21" s="17" t="n"/>
      <c r="Z21" s="17" t="n"/>
    </row>
    <row r="22" ht="43.5" customHeight="1" s="15">
      <c r="A22" s="17" t="inlineStr">
        <is>
          <t>AUD-017</t>
        </is>
      </c>
      <c r="B22" s="17" t="inlineStr">
        <is>
          <t>High</t>
        </is>
      </c>
      <c r="C22" s="27" t="inlineStr">
        <is>
          <t>Cross-document reconciliation</t>
        </is>
      </c>
      <c r="D22" s="27" t="inlineStr">
        <is>
          <t>BDS v0.8 physical-security receipt view discloses supplier identity before opening despite a blanket no-PE-bidder-identity statement; BOP v0.1 and PRC v0.2 lacked closed ceremony/PRC bindings. Controlled BOP v0.2, PRC v0.3 and BDS v0.9 are proposed corrections.</t>
        </is>
      </c>
      <c r="E22" s="27" t="inlineStr">
        <is>
          <t>Open</t>
        </is>
      </c>
      <c r="F22" s="27" t="inlineStr">
        <is>
          <t>Project Owner / requirements owner</t>
        </is>
      </c>
      <c r="G22" s="27" t="inlineStr">
        <is>
          <t>Review the three coordinated proposals; approve BDS receipt-owner exception and BOP/PRC lifecycle, then close actual renderer/proof and lawful operating-profile gates separately.</t>
        </is>
      </c>
      <c r="H22" s="27" t="inlineStr">
        <is>
          <t>Reconciled Bid Opening design and production authority</t>
        </is>
      </c>
      <c r="I22" s="27" t="inlineStr">
        <is>
          <t>BDS v0.8 §§5.9, 10.16; BOP v0.2 §7.1; PRC v0.3 §7.1; BDS v0.9 §12.2A</t>
        </is>
      </c>
      <c r="J22" s="17" t="n"/>
      <c r="K22" s="17" t="n"/>
      <c r="L22" s="17" t="n"/>
      <c r="M22" s="17" t="n"/>
      <c r="N22" s="17" t="n"/>
      <c r="O22" s="17" t="n"/>
      <c r="P22" s="17" t="n"/>
      <c r="Q22" s="17" t="n"/>
      <c r="R22" s="17" t="n"/>
      <c r="S22" s="17" t="n"/>
      <c r="T22" s="17" t="n"/>
      <c r="U22" s="17" t="n"/>
      <c r="V22" s="17" t="n"/>
      <c r="W22" s="17" t="n"/>
      <c r="X22" s="17" t="n"/>
      <c r="Y22" s="17" t="n"/>
      <c r="Z22" s="17" t="n"/>
    </row>
    <row r="23" ht="43.5" customHeight="1" s="15">
      <c r="A23" s="17" t="inlineStr">
        <is>
          <t>AUD-018</t>
        </is>
      </c>
      <c r="B23" s="17" t="inlineStr">
        <is>
          <t>High</t>
        </is>
      </c>
      <c r="C23" s="27" t="inlineStr">
        <is>
          <t>Design closure</t>
        </is>
      </c>
      <c r="D23" s="27" t="inlineStr">
        <is>
          <t>Earlier BOP/PRC versions conflated design fixtures with live evidence, contained contradictory actor/branch events, and left visible actions without a clear owner command. Approved BOP v0.10 and PRC v0.9 provide the end-to-end matrix, corrected branches, owner bindings and repeatable mechanical check. The cross-project standard gate is approved in KT-STD-001 v1.10.</t>
        </is>
      </c>
      <c r="E23" s="27" t="inlineStr">
        <is>
          <t>Controlled</t>
        </is>
      </c>
      <c r="F23" s="27" t="inlineStr">
        <is>
          <t>Requirements owner / Project Owner</t>
        </is>
      </c>
      <c r="G23" s="27" t="inlineStr">
        <is>
          <t>Apply approved BOP v0.10 / PRC v0.9 and KT-STD-001 v1.10, approved 29 September 2026. Use direct copy comparisons and actor/state/event review on affected branches. TPR v0.14 post-close cancellation remains a separately owned dependency.</t>
        </is>
      </c>
      <c r="H23" s="27" t="inlineStr">
        <is>
          <t>No BOP artboard; real opening activation and integrated proof remain separate later decisions</t>
        </is>
      </c>
      <c r="I23" s="27" t="inlineStr">
        <is>
          <t>Approved BOP v0.10, admitted 29 September 2026; approved PRC v0.9 and KT-STD-001 v1.10. BOP v0.9 retained as the prior approved baseline.</t>
        </is>
      </c>
      <c r="J23" s="17" t="n"/>
      <c r="K23" s="17" t="n"/>
      <c r="L23" s="17" t="n"/>
      <c r="M23" s="17" t="n"/>
      <c r="N23" s="17" t="n"/>
      <c r="O23" s="17" t="n"/>
      <c r="P23" s="17" t="n"/>
      <c r="Q23" s="17" t="n"/>
      <c r="R23" s="17" t="n"/>
      <c r="S23" s="17" t="n"/>
      <c r="T23" s="17" t="n"/>
      <c r="U23" s="17" t="n"/>
      <c r="V23" s="17" t="n"/>
      <c r="W23" s="17" t="n"/>
      <c r="X23" s="17" t="n"/>
      <c r="Y23" s="17" t="n"/>
      <c r="Z23" s="17" t="n"/>
    </row>
    <row r="24" ht="43.5" customHeight="1" s="15">
      <c r="A24" s="17" t="inlineStr">
        <is>
          <t>AUD-019</t>
        </is>
      </c>
      <c r="B24" s="17" t="inlineStr">
        <is>
          <t>High</t>
        </is>
      </c>
      <c r="C24" s="27" t="inlineStr">
        <is>
          <t>Award release dependencies</t>
        </is>
      </c>
      <c r="D24" s="27" t="inlineStr">
        <is>
          <t>AWD v0.4 is approved 1 October 2026. Current legal/notice operating rules and seven counterpart contracts are not closed by drafting this document.</t>
        </is>
      </c>
      <c r="E24" s="27" t="inlineStr">
        <is>
          <t>Open</t>
        </is>
      </c>
      <c r="F24" s="27" t="inlineStr">
        <is>
          <t>Requirements owner / legal-rule owner / integration owners</t>
        </is>
      </c>
      <c r="G24" s="27" t="inlineStr">
        <is>
          <t>reconcile AWD-IF-01–07; verify notice audience, giving, clocks, debrief and review rules; retain LAW-V-001; implement and test real services.</t>
        </is>
      </c>
      <c r="H24" s="27" t="inlineStr">
        <is>
          <t>Production Award release</t>
        </is>
      </c>
      <c r="I24" s="27" t="inlineStr">
        <is>
          <t>AWD-CHG-001 v0.4 §§15, 17; AWD-AC-026–027</t>
        </is>
      </c>
      <c r="J24" s="17" t="n"/>
      <c r="K24" s="17" t="n"/>
      <c r="L24" s="17" t="n"/>
      <c r="M24" s="17" t="n"/>
      <c r="N24" s="17" t="n"/>
      <c r="O24" s="17" t="n"/>
      <c r="P24" s="17" t="n"/>
      <c r="Q24" s="17" t="n"/>
      <c r="R24" s="17" t="n"/>
      <c r="S24" s="17" t="n"/>
      <c r="T24" s="17" t="n"/>
      <c r="U24" s="17" t="n"/>
      <c r="V24" s="17" t="n"/>
      <c r="W24" s="17" t="n"/>
      <c r="X24" s="17" t="n"/>
      <c r="Y24" s="17" t="n"/>
      <c r="Z24" s="17" t="n"/>
    </row>
    <row r="25" ht="43.5" customHeight="1" s="15">
      <c r="A25" s="17" t="inlineStr">
        <is>
          <t>AUD-020</t>
        </is>
      </c>
      <c r="B25" s="17" t="inlineStr">
        <is>
          <t>Medium</t>
        </is>
      </c>
      <c r="C25" s="27" t="inlineStr">
        <is>
          <t>Implementation evidence reconciliation</t>
        </is>
      </c>
      <c r="D25" s="27" t="inlineStr">
        <is>
          <t>SEED-OPS reports built BDS/BOP/EVL/AWD stages and seed-test success, while prior module rows said Planned/Not started. Full module acceptance and the cited Award OD-A plan were not supplied.</t>
        </is>
      </c>
      <c r="E25" s="27" t="inlineStr">
        <is>
          <t>Open</t>
        </is>
      </c>
      <c r="F25" s="27" t="inlineStr">
        <is>
          <t>Implementation and verification owners</t>
        </is>
      </c>
      <c r="G25" s="27" t="inlineStr">
        <is>
          <t>Link versioned build/test evidence and the Award plan. Verify complete module acceptance and current seed outcomes separately. Do not infer production readiness or requirements approval from seed results.</t>
        </is>
      </c>
      <c r="H25" s="27" t="inlineStr">
        <is>
          <t>Full implementation/verification closure for the affected modules</t>
        </is>
      </c>
      <c r="I25" s="27" t="inlineStr">
        <is>
          <t>SEED-OPS v1.18 §§2, 9A–9B, 10–11; supplied register SEED-OPS entry reports 23/23 tests on 1 October 2026.</t>
        </is>
      </c>
      <c r="J25" s="17" t="n"/>
      <c r="K25" s="17" t="n"/>
      <c r="L25" s="17" t="n"/>
      <c r="M25" s="17" t="n"/>
      <c r="N25" s="17" t="n"/>
      <c r="O25" s="17" t="n"/>
      <c r="P25" s="17" t="n"/>
      <c r="Q25" s="17" t="n"/>
      <c r="R25" s="17" t="n"/>
      <c r="S25" s="17" t="n"/>
      <c r="T25" s="17" t="n"/>
      <c r="U25" s="17" t="n"/>
      <c r="V25" s="17" t="n"/>
      <c r="W25" s="17" t="n"/>
      <c r="X25" s="17" t="n"/>
      <c r="Y25" s="17" t="n"/>
      <c r="Z25" s="17" t="n"/>
    </row>
    <row r="26" ht="43.5" customHeight="1" s="15">
      <c r="A26" s="17" t="inlineStr">
        <is>
          <t>AUD-021</t>
        </is>
      </c>
      <c r="B26" s="17" t="inlineStr">
        <is>
          <t>Medium</t>
        </is>
      </c>
      <c r="C26" s="27" t="inlineStr">
        <is>
          <t>Register lag</t>
        </is>
      </c>
      <c r="D26" s="27" t="inlineStr">
        <is>
          <t>The STD-TPL-001 entry recorded v0.10 although v0.12 (26 September 2026) and v0.13 (27 September 2026) had been approved.</t>
        </is>
      </c>
      <c r="E26" s="27" t="inlineStr">
        <is>
          <t>Resolved</t>
        </is>
      </c>
      <c r="F26" s="27" t="inlineStr">
        <is>
          <t>Documentation owner</t>
        </is>
      </c>
      <c r="G26" s="27" t="inlineStr">
        <is>
          <t>Entry corrected to v0.13 on 2 October 2026; v0.10 retained as prior_approved_baseline. v0.13's library file ID remains to be recorded.</t>
        </is>
      </c>
      <c r="H26" s="27" t="inlineStr">
        <is>
          <t>None</t>
        </is>
      </c>
      <c r="I26" s="27" t="inlineStr">
        <is>
          <t>STD-TPL-001 v0.13 control table; KenTender_STD-TPL-001_Change_Request_Questionnaire_Structure_2026-10-02.md §9</t>
        </is>
      </c>
      <c r="J26" s="17" t="n"/>
      <c r="K26" s="17" t="n"/>
      <c r="L26" s="17" t="n"/>
      <c r="M26" s="17" t="n"/>
      <c r="N26" s="17" t="n"/>
      <c r="O26" s="17" t="n"/>
      <c r="P26" s="17" t="n"/>
      <c r="Q26" s="17" t="n"/>
      <c r="R26" s="17" t="n"/>
      <c r="S26" s="17" t="n"/>
      <c r="T26" s="17" t="n"/>
      <c r="U26" s="17" t="n"/>
      <c r="V26" s="17" t="n"/>
      <c r="W26" s="17" t="n"/>
      <c r="X26" s="17" t="n"/>
      <c r="Y26" s="17" t="n"/>
      <c r="Z26" s="17" t="n"/>
    </row>
    <row r="27" ht="43.5" customHeight="1" s="15">
      <c r="A27" s="17" t="inlineStr">
        <is>
          <t>AUD-022</t>
        </is>
      </c>
      <c r="B27" s="17" t="inlineStr">
        <is>
          <t>Medium</t>
        </is>
      </c>
      <c r="C27" s="27" t="inlineStr">
        <is>
          <t>Stale reference</t>
        </is>
      </c>
      <c r="D27" s="27" t="inlineStr">
        <is>
          <t>TPR-CHG-001 v0.15 and BDS-CHG-001 v0.10 cite STD-TPL-001 v0.10 as an owner contract although v0.13 is approved; STD-TPL-001 v0.13 and v0.14 cite STD-TPL-IMP-001 v1.0 and KT-STD-001 v1.8 although v1.1 and v1.13 are approved.</t>
        </is>
      </c>
      <c r="E27" s="27" t="inlineStr">
        <is>
          <t>Open</t>
        </is>
      </c>
      <c r="F27" s="27" t="inlineStr">
        <is>
          <t>Requirements owner</t>
        </is>
      </c>
      <c r="G27" s="27" t="inlineStr">
        <is>
          <t>Reconcile the citations in each document's next successor without changing approved behaviour; the TPR and BDS walkthrough successors are the natural vehicle.</t>
        </is>
      </c>
      <c r="H27" s="27" t="inlineStr">
        <is>
          <t>Clean template/tender/bid traceability</t>
        </is>
      </c>
      <c r="I27" s="27" t="inlineStr">
        <is>
          <t>TPR-CHG-001 v0.15 control table 'Owner contracts' and §17; BDS-CHG-001 v0.10 control table, §17 and BDS06-AC-001; STD-TPL-001 v0.13 control table 'Implementation authority' and §17</t>
        </is>
      </c>
      <c r="J27" s="17" t="n"/>
      <c r="K27" s="17" t="n"/>
      <c r="L27" s="17" t="n"/>
      <c r="M27" s="17" t="n"/>
      <c r="N27" s="17" t="n"/>
      <c r="O27" s="17" t="n"/>
      <c r="P27" s="17" t="n"/>
      <c r="Q27" s="17" t="n"/>
      <c r="R27" s="17" t="n"/>
      <c r="S27" s="17" t="n"/>
      <c r="T27" s="17" t="n"/>
      <c r="U27" s="17" t="n"/>
      <c r="V27" s="17" t="n"/>
      <c r="W27" s="17" t="n"/>
      <c r="X27" s="17" t="n"/>
      <c r="Y27" s="17" t="n"/>
      <c r="Z27" s="17" t="n"/>
    </row>
    <row r="28" ht="43.5" customHeight="1" s="15">
      <c r="A28" s="17" t="inlineStr">
        <is>
          <t>AUD-023</t>
        </is>
      </c>
      <c r="B28" s="17" t="inlineStr">
        <is>
          <t>Medium</t>
        </is>
      </c>
      <c r="C28" s="27" t="inlineStr">
        <is>
          <t>Evidence</t>
        </is>
      </c>
      <c r="D28" s="27" t="inlineStr">
        <is>
          <t>STD-ST-001 v0.5's approval effect says the §13 human walkthroughs and a separately approved narrow implementation pack remain required before implementation begins. No document read on 2 October 2026 records that the walkthroughs were held or waived, while STD template, Tenders and Bid Submission work is in progress.</t>
        </is>
      </c>
      <c r="E28" s="27" t="inlineStr">
        <is>
          <t>Open</t>
        </is>
      </c>
      <c r="F28" s="27" t="inlineStr">
        <is>
          <t>Project Owner</t>
        </is>
      </c>
      <c r="G28" s="27" t="inlineStr">
        <is>
          <t>Record whether the §13 walkthroughs were held, waived or superseded, and whether STD-TPL-IMP-001 v1.1 is the required implementation pack.</t>
        </is>
      </c>
      <c r="H28" s="27" t="inlineStr">
        <is>
          <t>Clean authority trail for STD template implementation</t>
        </is>
      </c>
      <c r="I28" s="27" t="inlineStr">
        <is>
          <t>STD-ST-001 v0.5 'Approval effect' and §13</t>
        </is>
      </c>
      <c r="J28" s="17" t="n"/>
      <c r="K28" s="17" t="n"/>
      <c r="L28" s="17" t="n"/>
      <c r="M28" s="17" t="n"/>
      <c r="N28" s="17" t="n"/>
      <c r="O28" s="17" t="n"/>
      <c r="P28" s="17" t="n"/>
      <c r="Q28" s="17" t="n"/>
      <c r="R28" s="17" t="n"/>
      <c r="S28" s="17" t="n"/>
      <c r="T28" s="17" t="n"/>
      <c r="U28" s="17" t="n"/>
      <c r="V28" s="17" t="n"/>
      <c r="W28" s="17" t="n"/>
      <c r="X28" s="17" t="n"/>
      <c r="Y28" s="17" t="n"/>
      <c r="Z28" s="17" t="n"/>
    </row>
    <row r="29" ht="43.5" customHeight="1" s="15">
      <c r="A29" s="17" t="inlineStr">
        <is>
          <t>AUD-024</t>
        </is>
      </c>
      <c r="B29" s="17" t="inlineStr">
        <is>
          <t>Low</t>
        </is>
      </c>
      <c r="C29" s="27" t="inlineStr">
        <is>
          <t>Version coordination</t>
        </is>
      </c>
      <c r="D29" s="27" t="inlineStr">
        <is>
          <t>Questionnaire Parts A and B occupy approved v0.14 and v0.15. The separate walkthrough successor drafted from v0.13 needs rebase and renumbering.</t>
        </is>
      </c>
      <c r="E29" s="27" t="inlineStr">
        <is>
          <t>Open</t>
        </is>
      </c>
      <c r="F29" s="27" t="inlineStr">
        <is>
          <t>Requirements owner</t>
        </is>
      </c>
      <c r="G29" s="27" t="inlineStr">
        <is>
          <t>Obtain the separate approved walkthrough change and rebase onto v0.15; allocate its successor before coordinated publication.</t>
        </is>
      </c>
      <c r="H29" s="27" t="inlineStr">
        <is>
          <t>Clean walkthrough integration and successor numbering</t>
        </is>
      </c>
      <c r="I29" s="27" t="inlineStr">
        <is>
          <t>Supplied STD-TPL v0.15 control block</t>
        </is>
      </c>
      <c r="J29" s="17" t="n"/>
      <c r="K29" s="17" t="n"/>
      <c r="L29" s="17" t="n"/>
      <c r="M29" s="17" t="n"/>
      <c r="N29" s="17" t="n"/>
      <c r="O29" s="17" t="n"/>
      <c r="P29" s="17" t="n"/>
      <c r="Q29" s="17" t="n"/>
      <c r="R29" s="17" t="n"/>
      <c r="S29" s="17" t="n"/>
      <c r="T29" s="17" t="n"/>
      <c r="U29" s="17" t="n"/>
      <c r="V29" s="17" t="n"/>
      <c r="W29" s="17" t="n"/>
      <c r="X29" s="17" t="n"/>
      <c r="Y29" s="17" t="n"/>
      <c r="Z29" s="17" t="n"/>
    </row>
    <row r="30" ht="150" customHeight="1" s="15">
      <c r="A30" s="35" t="inlineStr">
        <is>
          <t>AUD-025</t>
        </is>
      </c>
      <c r="B30" s="35" t="inlineStr">
        <is>
          <t>High</t>
        </is>
      </c>
      <c r="C30" s="35" t="inlineStr">
        <is>
          <t>Permission conflict</t>
        </is>
      </c>
      <c r="D30" s="35" t="inlineStr">
        <is>
          <t>KT-STD v1.14 §3A.6 broad technical read conflicts with BOP §6, PRC §6, AWD §6 and sealed-bid restrictions; OVS cannot silently settle this.</t>
        </is>
      </c>
      <c r="E30" s="35" t="inlineStr">
        <is>
          <t>Resolved in requirements</t>
        </is>
      </c>
      <c r="F30" s="35" t="inlineStr">
        <is>
          <t>Requirements owner / Project Owner</t>
        </is>
      </c>
      <c r="G30" s="35" t="inlineStr">
        <is>
          <t>Policy approved 3 October 2026; verify owner implementation and sealed-custody boundaries.</t>
        </is>
      </c>
      <c r="H30" s="35" t="inlineStr">
        <is>
          <t>Implementation verification only</t>
        </is>
      </c>
      <c r="I30" s="35" t="inlineStr">
        <is>
          <t>Supplied KT-STD, BOP, PRC, AWD and BDS permission sections</t>
        </is>
      </c>
      <c r="J30" s="17" t="n"/>
      <c r="K30" s="17" t="n"/>
      <c r="L30" s="17" t="n"/>
      <c r="M30" s="17" t="n"/>
      <c r="N30" s="17" t="n"/>
      <c r="O30" s="17" t="n"/>
      <c r="P30" s="17" t="n"/>
      <c r="Q30" s="17" t="n"/>
      <c r="R30" s="17" t="n"/>
      <c r="S30" s="17" t="n"/>
      <c r="T30" s="17" t="n"/>
      <c r="U30" s="17" t="n"/>
      <c r="V30" s="17" t="n"/>
      <c r="W30" s="17" t="n"/>
      <c r="X30" s="17" t="n"/>
      <c r="Y30" s="17" t="n"/>
      <c r="Z30" s="17" t="n"/>
    </row>
    <row r="31" ht="150" customHeight="1" s="15">
      <c r="A31" s="35" t="inlineStr">
        <is>
          <t>AUD-026</t>
        </is>
      </c>
      <c r="B31" s="35" t="inlineStr">
        <is>
          <t>High</t>
        </is>
      </c>
      <c r="C31" s="35" t="inlineStr">
        <is>
          <t>Missing sources</t>
        </is>
      </c>
      <c r="D31" s="35" t="inlineStr">
        <is>
          <t>CTX, TRUST, SEED and approved STD-TPL v0.15 have been supplied. Current CM basis, all-stage requirements and ERPNext fit-gap remain absent.</t>
        </is>
      </c>
      <c r="E31" s="35" t="inlineStr">
        <is>
          <t>Deferred by owner</t>
        </is>
      </c>
      <c r="F31" s="35" t="inlineStr">
        <is>
          <t>Documentation owner</t>
        </is>
      </c>
      <c r="G31" s="35" t="inlineStr">
        <is>
          <t>Supply current CM sources; reconcile independent CM and canonical fixtures.</t>
        </is>
      </c>
      <c r="H31" s="35" t="inlineStr">
        <is>
          <t>Affected deferred scope only; not supplied-module review</t>
        </is>
      </c>
      <c r="I31" s="35" t="inlineStr">
        <is>
          <t>Both archive inventories and standalone STD-TPL v0.15</t>
        </is>
      </c>
      <c r="J31" s="17" t="n"/>
      <c r="K31" s="17" t="n"/>
      <c r="L31" s="17" t="n"/>
      <c r="M31" s="17" t="n"/>
      <c r="N31" s="17" t="n"/>
      <c r="O31" s="17" t="n"/>
      <c r="P31" s="17" t="n"/>
      <c r="Q31" s="17" t="n"/>
      <c r="R31" s="17" t="n"/>
      <c r="S31" s="17" t="n"/>
      <c r="T31" s="17" t="n"/>
      <c r="U31" s="17" t="n"/>
      <c r="V31" s="17" t="n"/>
      <c r="W31" s="17" t="n"/>
      <c r="X31" s="17" t="n"/>
      <c r="Y31" s="17" t="n"/>
      <c r="Z31" s="17" t="n"/>
    </row>
    <row r="32" ht="150" customHeight="1" s="15">
      <c r="A32" s="35" t="inlineStr">
        <is>
          <t>AUD-027</t>
        </is>
      </c>
      <c r="B32" s="35" t="inlineStr">
        <is>
          <t>Medium</t>
        </is>
      </c>
      <c r="C32" s="35" t="inlineStr">
        <is>
          <t>Register reconciliation</t>
        </is>
      </c>
      <c r="D32" s="35" t="inlineStr">
        <is>
          <t>Register lagged approved NDS v1.15 and PLN v1.28; REQ v1.13, CFG v0.17 and TPR v0.16 are pending, not approved.</t>
        </is>
      </c>
      <c r="E32" s="35" t="inlineStr">
        <is>
          <t>Closed</t>
        </is>
      </c>
      <c r="F32" s="35" t="inlineStr">
        <is>
          <t>Documentation owner</t>
        </is>
      </c>
      <c r="G32" s="35" t="inlineStr">
        <is>
          <t>Updated known approved baselines and tracked pending source chains plus OVS proposals without approving them.</t>
        </is>
      </c>
      <c r="H32" s="35" t="inlineStr">
        <is>
          <t>None for corrected metadata</t>
        </is>
      </c>
      <c r="I32" s="35" t="inlineStr">
        <is>
          <t>Supplied control blocks; approved predecessor history retained</t>
        </is>
      </c>
      <c r="J32" s="17" t="n"/>
      <c r="K32" s="17" t="n"/>
      <c r="L32" s="17" t="n"/>
      <c r="M32" s="17" t="n"/>
      <c r="N32" s="17" t="n"/>
      <c r="O32" s="17" t="n"/>
      <c r="P32" s="17" t="n"/>
      <c r="Q32" s="17" t="n"/>
      <c r="R32" s="17" t="n"/>
      <c r="S32" s="17" t="n"/>
      <c r="T32" s="17" t="n"/>
      <c r="U32" s="17" t="n"/>
      <c r="V32" s="17" t="n"/>
      <c r="W32" s="17" t="n"/>
      <c r="X32" s="17" t="n"/>
      <c r="Y32" s="17" t="n"/>
      <c r="Z32" s="17" t="n"/>
    </row>
    <row r="33" ht="150" customHeight="1" s="15">
      <c r="A33" s="35" t="inlineStr">
        <is>
          <t>AUD-028</t>
        </is>
      </c>
      <c r="B33" s="35" t="inlineStr">
        <is>
          <t>Medium</t>
        </is>
      </c>
      <c r="C33" s="35" t="inlineStr">
        <is>
          <t>Pending change preservation</t>
        </is>
      </c>
      <c r="D33" s="35" t="inlineStr">
        <is>
          <t>STD-TPL v0.15 confirms separate walkthrough change approval but excludes its incorporation; separate source remains unavailable.</t>
        </is>
      </c>
      <c r="E33" s="35" t="inlineStr">
        <is>
          <t>Deferred by owner</t>
        </is>
      </c>
      <c r="F33" s="35" t="inlineStr">
        <is>
          <t>Documentation owner</t>
        </is>
      </c>
      <c r="G33" s="35" t="inlineStr">
        <is>
          <t>Reconcile the separate walkthrough change with OVS and IF-020; preserve approval history and rebase version numbering.</t>
        </is>
      </c>
      <c r="H33" s="35" t="inlineStr">
        <is>
          <t>Affected deferred scope only; not supplied-module review</t>
        </is>
      </c>
      <c r="I33" s="35" t="inlineStr">
        <is>
          <t>STD-TPL v0.15 control block; IF-020; AUD-024</t>
        </is>
      </c>
      <c r="J33" s="17" t="n"/>
      <c r="K33" s="17" t="n"/>
      <c r="L33" s="17" t="n"/>
      <c r="M33" s="17" t="n"/>
      <c r="N33" s="17" t="n"/>
      <c r="O33" s="17" t="n"/>
      <c r="P33" s="17" t="n"/>
      <c r="Q33" s="17" t="n"/>
      <c r="R33" s="17" t="n"/>
      <c r="S33" s="17" t="n"/>
      <c r="T33" s="17" t="n"/>
      <c r="U33" s="17" t="n"/>
      <c r="V33" s="17" t="n"/>
      <c r="W33" s="17" t="n"/>
      <c r="X33" s="17" t="n"/>
      <c r="Y33" s="17" t="n"/>
      <c r="Z33" s="17" t="n"/>
    </row>
    <row r="34" ht="150" customHeight="1" s="15">
      <c r="A34" s="35" t="inlineStr">
        <is>
          <t>AUD-029</t>
        </is>
      </c>
      <c r="B34" s="35" t="inlineStr">
        <is>
          <t>High</t>
        </is>
      </c>
      <c r="C34" s="35" t="inlineStr">
        <is>
          <t>Context conflict</t>
        </is>
      </c>
      <c r="D34" s="35" t="inlineStr">
        <is>
          <t>CTX v1.0 prescribes multi-PE context and obsolete User Permission/User Scope Assignment access, contradicting later AUTH/CFG.</t>
        </is>
      </c>
      <c r="E34" s="35" t="inlineStr">
        <is>
          <t>Correction approved; implementation unverified</t>
        </is>
      </c>
      <c r="F34" s="35" t="inlineStr">
        <is>
          <t>Shared context owner</t>
        </is>
      </c>
      <c r="G34" s="35" t="inlineStr">
        <is>
          <t>Approve CTX v1.1 alignment and verify obsolete preference/gate consumers are removed.</t>
        </is>
      </c>
      <c r="H34" s="35" t="inlineStr">
        <is>
          <t>Affected context implementation</t>
        </is>
      </c>
      <c r="I34" s="35" t="inlineStr">
        <is>
          <t>CTX v1.0 §§2–5; AUTH v1.10; supplied CFG/NDS</t>
        </is>
      </c>
      <c r="J34" s="17" t="n"/>
      <c r="K34" s="17" t="n"/>
      <c r="L34" s="17" t="n"/>
      <c r="M34" s="17" t="n"/>
      <c r="N34" s="17" t="n"/>
      <c r="O34" s="17" t="n"/>
      <c r="P34" s="17" t="n"/>
      <c r="Q34" s="17" t="n"/>
      <c r="R34" s="17" t="n"/>
      <c r="S34" s="17" t="n"/>
      <c r="T34" s="17" t="n"/>
      <c r="U34" s="17" t="n"/>
      <c r="V34" s="17" t="n"/>
      <c r="W34" s="17" t="n"/>
      <c r="X34" s="17" t="n"/>
      <c r="Y34" s="17" t="n"/>
      <c r="Z34" s="17" t="n"/>
    </row>
    <row r="35" ht="150" customHeight="1" s="15">
      <c r="A35" s="35" t="inlineStr">
        <is>
          <t>AUD-030</t>
        </is>
      </c>
      <c r="B35" s="35" t="inlineStr">
        <is>
          <t>Medium</t>
        </is>
      </c>
      <c r="C35" s="35" t="inlineStr">
        <is>
          <t>Fixture chronology</t>
        </is>
      </c>
      <c r="D35" s="35" t="inlineStr">
        <is>
          <t>Older SEED/KT-STD fixtures lag approved SEED-OPS decisions; Julia is not an in-force HoD in June 2027 and mnemonic OU codes must not be forced.</t>
        </is>
      </c>
      <c r="E35" s="35" t="inlineStr">
        <is>
          <t>Correction approved; implementation unverified</t>
        </is>
      </c>
      <c r="F35" s="35" t="inlineStr">
        <is>
          <t>Seed/documentation owner</t>
        </is>
      </c>
      <c r="G35" s="35" t="inlineStr">
        <is>
          <t>Apply corrected OVS fixtures; retain generated IDs and approved seed decisions. Finish broader seed harmonisation separately.</t>
        </is>
      </c>
      <c r="H35" s="35" t="inlineStr">
        <is>
          <t>Affected design/seed verification</t>
        </is>
      </c>
      <c r="I35" s="35" t="inlineStr">
        <is>
          <t>SEED v1.3 §3.1; SEED-OPS v1.21 §11 D3/D4/D7/D8/D23</t>
        </is>
      </c>
      <c r="J35" s="17" t="n"/>
      <c r="K35" s="17" t="n"/>
      <c r="L35" s="17" t="n"/>
      <c r="M35" s="17" t="n"/>
      <c r="N35" s="17" t="n"/>
      <c r="O35" s="17" t="n"/>
      <c r="P35" s="17" t="n"/>
      <c r="Q35" s="17" t="n"/>
      <c r="R35" s="17" t="n"/>
      <c r="S35" s="17" t="n"/>
      <c r="T35" s="17" t="n"/>
      <c r="U35" s="17" t="n"/>
      <c r="V35" s="17" t="n"/>
      <c r="W35" s="17" t="n"/>
      <c r="X35" s="17" t="n"/>
      <c r="Y35" s="17" t="n"/>
      <c r="Z35" s="17" t="n"/>
    </row>
    <row r="36" ht="150" customHeight="1" s="15">
      <c r="A36" s="35" t="inlineStr">
        <is>
          <t>AUD-031</t>
        </is>
      </c>
      <c r="B36" s="35" t="inlineStr">
        <is>
          <t>High</t>
        </is>
      </c>
      <c r="C36" s="35" t="inlineStr">
        <is>
          <t>Design readiness</t>
        </is>
      </c>
      <c r="D36" s="35" t="inlineStr">
        <is>
          <t>OVS requirements are not a closed-input design contract. D1–D5 and D7 remain open.</t>
        </is>
      </c>
      <c r="E36" s="35" t="inlineStr">
        <is>
          <t>Open</t>
        </is>
      </c>
      <c r="F36" s="35" t="inlineStr">
        <is>
          <t>Requirements/design owner</t>
        </is>
      </c>
      <c r="G36" s="35" t="inlineStr">
        <is>
          <t>Complete EVL/TPR/PRC static sections first, then remaining changed owner views; record conformance matrices.</t>
        </is>
      </c>
      <c r="H36" s="35" t="inlineStr">
        <is>
          <t>Design handoff of affected views</t>
        </is>
      </c>
      <c r="I36" s="35" t="inlineStr">
        <is>
          <t>v0.5 design-readiness review; OVS v0.6 §14.1</t>
        </is>
      </c>
      <c r="J36" s="17" t="n"/>
      <c r="K36" s="17" t="n"/>
      <c r="L36" s="17" t="n"/>
      <c r="M36" s="17" t="n"/>
      <c r="N36" s="17" t="n"/>
      <c r="O36" s="17" t="n"/>
      <c r="P36" s="17" t="n"/>
      <c r="Q36" s="17" t="n"/>
      <c r="R36" s="17" t="n"/>
      <c r="S36" s="17" t="n"/>
      <c r="T36" s="17" t="n"/>
      <c r="U36" s="17" t="n"/>
      <c r="V36" s="17" t="n"/>
      <c r="W36" s="17" t="n"/>
      <c r="X36" s="17" t="n"/>
      <c r="Y36" s="17" t="n"/>
      <c r="Z36" s="17" t="n"/>
    </row>
    <row r="37" ht="15" customHeight="1" s="15">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row>
    <row r="38" ht="15" customHeight="1" s="15">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row>
    <row r="39" ht="15" customHeight="1" s="15">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row>
    <row r="40" ht="15" customHeight="1" s="15">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row>
    <row r="41" ht="15" customHeight="1" s="15">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row>
    <row r="42" ht="15" customHeight="1" s="15">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row>
    <row r="43" ht="15" customHeight="1" s="15">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row>
    <row r="44" ht="15" customHeight="1" s="15">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row>
    <row r="45" ht="15" customHeight="1" s="1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row>
    <row r="46" ht="15" customHeight="1" s="15">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row>
    <row r="47" ht="15" customHeight="1" s="15">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row>
    <row r="48" ht="15" customHeight="1" s="15">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row>
    <row r="49" ht="15" customHeight="1" s="15">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row>
    <row r="50" ht="15" customHeight="1" s="15">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row>
    <row r="51" ht="15" customHeight="1" s="15">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row>
    <row r="52" ht="15" customHeight="1" s="15">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row>
    <row r="53" ht="15" customHeight="1" s="15">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row>
    <row r="54" ht="15" customHeight="1" s="15">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row>
    <row r="55" ht="15" customHeight="1" s="1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row>
    <row r="56" ht="15" customHeight="1" s="15">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row>
    <row r="57" ht="15" customHeight="1" s="15">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row>
    <row r="58" ht="15" customHeight="1" s="15">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row>
    <row r="59" ht="15" customHeight="1" s="15">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row>
    <row r="60" ht="15" customHeight="1" s="15">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row>
    <row r="61" ht="15" customHeight="1" s="15">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row>
    <row r="62" ht="15" customHeight="1" s="15">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row>
    <row r="63" ht="15" customHeight="1" s="15">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row>
    <row r="64" ht="15" customHeight="1" s="15">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row>
    <row r="65" ht="15" customHeight="1" s="15">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row>
    <row r="66" ht="15" customHeight="1" s="15">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row>
    <row r="67" ht="15" customHeight="1" s="15">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row>
    <row r="68" ht="15" customHeight="1" s="15">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row>
    <row r="69" ht="15" customHeight="1" s="15">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row>
    <row r="70" ht="15" customHeight="1" s="15">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row>
    <row r="71" ht="15" customHeight="1" s="15">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row>
    <row r="72" ht="15" customHeight="1" s="15">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row>
    <row r="73" ht="15" customHeight="1" s="15">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row>
    <row r="74" ht="15" customHeight="1" s="15">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row>
    <row r="75" ht="15" customHeight="1" s="15">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row>
    <row r="76" ht="15" customHeight="1" s="15">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row>
    <row r="77" ht="15" customHeight="1" s="15">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row>
    <row r="78" ht="15" customHeight="1" s="15">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row>
    <row r="79" ht="15" customHeight="1" s="15">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row>
    <row r="80" ht="15" customHeight="1" s="15">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row>
    <row r="81" ht="15" customHeight="1" s="15">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row>
    <row r="82" ht="15" customHeight="1" s="15">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row>
    <row r="83" ht="15" customHeight="1" s="15">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row>
    <row r="84" ht="15" customHeight="1" s="15">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row>
    <row r="85" ht="15" customHeight="1" s="15">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row>
    <row r="86" ht="15" customHeight="1" s="15">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row>
    <row r="87" ht="15" customHeight="1" s="15">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row>
    <row r="88" ht="15" customHeight="1" s="15">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row>
    <row r="89" ht="15" customHeight="1" s="15">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row>
    <row r="90" ht="15" customHeight="1" s="15">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row>
    <row r="91" ht="15" customHeight="1" s="15">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row>
    <row r="92" ht="15" customHeight="1" s="15">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row>
    <row r="93" ht="15" customHeight="1" s="15">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row>
    <row r="94" ht="15" customHeight="1" s="15">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row>
    <row r="95" ht="15" customHeight="1" s="15">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row>
    <row r="96" ht="15" customHeight="1" s="15">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row>
    <row r="97" ht="15" customHeight="1" s="15">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row>
    <row r="98" ht="15" customHeight="1" s="15">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row>
    <row r="99" ht="15" customHeight="1" s="15">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row>
    <row r="100" ht="15" customHeight="1" s="15">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row>
    <row r="101" ht="15" customHeight="1" s="15">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row>
    <row r="102" ht="15" customHeight="1" s="15">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row>
    <row r="103" ht="15" customHeight="1" s="15">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row>
    <row r="104" ht="15" customHeight="1" s="15">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row>
    <row r="105" ht="15" customHeight="1" s="15">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row>
    <row r="106" ht="15" customHeight="1" s="15">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row>
    <row r="107" ht="15" customHeight="1" s="15">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row>
    <row r="108" ht="15" customHeight="1" s="15">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row>
    <row r="109" ht="15" customHeight="1" s="15">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row>
    <row r="110" ht="15" customHeight="1" s="15">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row>
    <row r="111" ht="15" customHeight="1" s="15">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row>
    <row r="112" ht="15" customHeight="1" s="15">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row>
    <row r="113" ht="15" customHeight="1" s="15">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row>
    <row r="114" ht="15" customHeight="1" s="15">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row>
    <row r="115" ht="15" customHeight="1" s="15">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row>
    <row r="116" ht="15" customHeight="1" s="15">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row>
    <row r="117" ht="15" customHeight="1" s="15">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row>
    <row r="118" ht="15" customHeight="1" s="15">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row>
    <row r="119" ht="15" customHeight="1" s="15">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row>
    <row r="120" ht="15" customHeight="1" s="15">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row>
    <row r="121" ht="15" customHeight="1" s="15">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row>
    <row r="122" ht="15" customHeight="1" s="15">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row>
    <row r="123" ht="15" customHeight="1" s="15">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row>
    <row r="124" ht="15" customHeight="1" s="15">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row>
    <row r="125" ht="15" customHeight="1" s="15">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row>
    <row r="126" ht="15" customHeight="1" s="15">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row>
    <row r="127" ht="15" customHeight="1" s="15">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row>
    <row r="128" ht="15" customHeight="1" s="15">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row>
    <row r="129" ht="15" customHeight="1" s="15">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row>
    <row r="130" ht="15" customHeight="1" s="15">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row>
    <row r="131" ht="15" customHeight="1" s="15">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row>
    <row r="132" ht="15" customHeight="1" s="15">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row>
    <row r="133" ht="15" customHeight="1" s="15">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row>
    <row r="134" ht="15" customHeight="1" s="15">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row>
    <row r="135" ht="15" customHeight="1" s="15">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row>
    <row r="136" ht="15" customHeight="1" s="15">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row>
    <row r="137" ht="15" customHeight="1" s="15">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row>
    <row r="138" ht="15" customHeight="1" s="15">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row>
    <row r="139" ht="15" customHeight="1" s="15">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row>
    <row r="140" ht="15" customHeight="1" s="15">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row>
    <row r="141" ht="15" customHeight="1" s="15">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row>
    <row r="142" ht="15" customHeight="1" s="15">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row>
    <row r="143" ht="15" customHeight="1" s="15">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row>
    <row r="144" ht="15" customHeight="1" s="15">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row>
    <row r="145" ht="15" customHeight="1" s="15">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row>
    <row r="146" ht="15" customHeight="1" s="15">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row>
    <row r="147" ht="15" customHeight="1" s="15">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row>
    <row r="148" ht="15" customHeight="1" s="15">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row>
    <row r="149" ht="15" customHeight="1" s="15">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row>
    <row r="150" ht="15" customHeight="1" s="15">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row>
    <row r="151" ht="15" customHeight="1" s="15">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row>
    <row r="152" ht="15" customHeight="1" s="15">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row>
    <row r="153" ht="15" customHeight="1" s="15">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row>
    <row r="154" ht="15" customHeight="1" s="15">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row>
    <row r="155" ht="15" customHeight="1" s="15">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row>
    <row r="156" ht="15" customHeight="1" s="15">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row>
    <row r="157" ht="15" customHeight="1" s="15">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row>
    <row r="158" ht="15" customHeight="1" s="15">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row>
    <row r="159" ht="15" customHeight="1" s="15">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row>
    <row r="160" ht="15" customHeight="1" s="15">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row>
    <row r="161" ht="15" customHeight="1" s="15">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row>
    <row r="162" ht="15" customHeight="1" s="15">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row>
    <row r="163" ht="15" customHeight="1" s="15">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row>
    <row r="164" ht="15" customHeight="1" s="15">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row>
    <row r="165" ht="15" customHeight="1" s="15">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row>
    <row r="166" ht="15" customHeight="1" s="15">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row>
    <row r="167" ht="15" customHeight="1" s="15">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row>
    <row r="168" ht="15" customHeight="1" s="15">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row>
    <row r="169" ht="15" customHeight="1" s="15">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row>
    <row r="170" ht="15" customHeight="1" s="15">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row>
    <row r="171" ht="15" customHeight="1" s="15">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row>
    <row r="172" ht="15" customHeight="1" s="15">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row>
    <row r="173" ht="15" customHeight="1" s="15">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row>
    <row r="174" ht="15" customHeight="1" s="15">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row>
    <row r="175" ht="15" customHeight="1" s="15">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row>
    <row r="176" ht="15" customHeight="1" s="15">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row>
    <row r="177" ht="15" customHeight="1" s="15">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row>
    <row r="178" ht="15" customHeight="1" s="15">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row>
    <row r="179" ht="15" customHeight="1" s="15">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row>
    <row r="180" ht="15" customHeight="1" s="15">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row>
    <row r="181" ht="15" customHeight="1" s="15">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row>
    <row r="182" ht="15" customHeight="1" s="15">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row>
    <row r="183" ht="15" customHeight="1" s="15">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row>
    <row r="184" ht="15" customHeight="1" s="15">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row>
    <row r="185" ht="15" customHeight="1" s="15">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row>
    <row r="186" ht="15" customHeight="1" s="15">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row>
    <row r="187" ht="15" customHeight="1" s="15">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row>
    <row r="188" ht="15" customHeight="1" s="15">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row>
    <row r="189" ht="15" customHeight="1" s="15">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row>
    <row r="190" ht="15" customHeight="1" s="15">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row>
    <row r="191" ht="15" customHeight="1" s="15">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row>
    <row r="192" ht="15" customHeight="1" s="15">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row>
    <row r="193" ht="15" customHeight="1" s="15">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row>
    <row r="194" ht="15" customHeight="1" s="15">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row>
    <row r="195" ht="15" customHeight="1" s="15">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row>
    <row r="196" ht="15" customHeight="1" s="15">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row>
    <row r="197" ht="15" customHeight="1" s="15">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row>
    <row r="198" ht="15" customHeight="1" s="15">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row>
    <row r="199" ht="15" customHeight="1" s="15">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row>
    <row r="200" ht="15" customHeight="1" s="15">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row>
  </sheetData>
  <mergeCells count="2">
    <mergeCell ref="A1:I1"/>
    <mergeCell ref="A2:I2"/>
  </mergeCells>
  <conditionalFormatting sqref="E6:E29">
    <cfRule type="containsText" rank="0" priority="2" equalAverage="0" operator="containsText" aboveAverage="0" dxfId="13" text="Approved" percent="0" bottom="0">
      <formula>NOT(ISERROR(SEARCH("Approved",E6)))</formula>
    </cfRule>
    <cfRule type="containsText" rank="0" priority="3" equalAverage="0" operator="containsText" aboveAverage="0" dxfId="13" text="Passed" percent="0" bottom="0">
      <formula>NOT(ISERROR(SEARCH("Passed",E6)))</formula>
    </cfRule>
    <cfRule type="containsText" rank="0" priority="4" equalAverage="0" operator="containsText" aboveAverage="0" dxfId="13" text="Released" percent="0" bottom="0">
      <formula>NOT(ISERROR(SEARCH("Released",E6)))</formula>
    </cfRule>
    <cfRule type="containsText" rank="0" priority="5" equalAverage="0" operator="containsText" aboveAverage="0" dxfId="1" text="Project Owner review" percent="0" bottom="0">
      <formula>NOT(ISERROR(SEARCH("Project Owner review",E6)))</formula>
    </cfRule>
    <cfRule type="containsText" rank="0" priority="6" equalAverage="0" operator="containsText" aboveAverage="0" dxfId="14" text="Pending" percent="0" bottom="0">
      <formula>NOT(ISERROR(SEARCH("Pending",E6)))</formula>
    </cfRule>
    <cfRule type="containsText" rank="0" priority="7" equalAverage="0" operator="containsText" aboveAverage="0" dxfId="0" text="Blocked" percent="0" bottom="0">
      <formula>NOT(ISERROR(SEARCH("Blocked",E6)))</formula>
    </cfRule>
    <cfRule type="containsText" rank="0" priority="8" equalAverage="0" operator="containsText" aboveAverage="0" dxfId="0" text="unresolved" percent="0" bottom="0">
      <formula>NOT(ISERROR(SEARCH("unresolved",E6)))</formula>
    </cfRule>
    <cfRule type="containsText" rank="0" priority="9" equalAverage="0" operator="containsText" aboveAverage="0" dxfId="15" text="Not started" percent="0" bottom="0">
      <formula>NOT(ISERROR(SEARCH("Not started",E6)))</formula>
    </cfRule>
    <cfRule type="containsText" rank="0" priority="10" equalAverage="0" operator="containsText" aboveAverage="0" dxfId="15" text="Not evidenced" percent="0" bottom="0">
      <formula>NOT(ISERROR(SEARCH("Not evidenced",E6)))</formula>
    </cfRule>
  </conditionalFormatting>
  <conditionalFormatting sqref="B6:B29">
    <cfRule type="containsText" rank="0" priority="11" equalAverage="0" operator="containsText" aboveAverage="0" dxfId="0" text="Critical" percent="0" bottom="0">
      <formula>NOT(ISERROR(SEARCH("Critical",B6)))</formula>
    </cfRule>
    <cfRule type="containsText" rank="0" priority="12" equalAverage="0" operator="containsText" aboveAverage="0" dxfId="1" text="High" percent="0" bottom="0">
      <formula>NOT(ISERROR(SEARCH("High",B6)))</formula>
    </cfRule>
  </conditionalFormatting>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2026-10-11T15:03:44Z</dcterms:created>
  <dcterms:modified xmlns:dcterms="http://purl.org/dc/terms/" xmlns:xsi="http://www.w3.org/2001/XMLSchema-instance" xsi:type="dcterms:W3CDTF">2026-10-11T19:14:07Z</dcterms:modified>
</cp:coreProperties>
</file>