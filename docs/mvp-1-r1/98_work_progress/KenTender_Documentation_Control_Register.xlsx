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ocuments" sheetId="2" state="visible" r:id="rId4"/>
    <sheet name="Interfaces" sheetId="3" state="visible" r:id="rId5"/>
    <sheet name="Decisions" sheetId="4" state="visible" r:id="rId6"/>
    <sheet name="Delivery" sheetId="5" state="visible" r:id="rId7"/>
    <sheet name="Future Work" sheetId="6" state="visible" r:id="rId8"/>
    <sheet name="Audit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<sst xmlns="http://schemas.openxmlformats.org/spreadsheetml/2006/main" count="1872" uniqueCount="1084">
  <si>
    <t xml:space="preserve">KenTender documentation control</t>
  </si>
  <si>
    <t xml:space="preserve">Current controlled baseline and delivery status as at 2026-10-02. Requirement approval, implementation, verification and release are tracked independently.</t>
  </si>
  <si>
    <t xml:space="preserve">Baseline status</t>
  </si>
  <si>
    <t xml:space="preserve">Controlled / referenced artifacts</t>
  </si>
  <si>
    <t xml:space="preserve">Approved requirements</t>
  </si>
  <si>
    <t xml:space="preserve">Awaiting owner approval</t>
  </si>
  <si>
    <t xml:space="preserve">Open delivery items</t>
  </si>
  <si>
    <t xml:space="preserve">Immediate attention</t>
  </si>
  <si>
    <t xml:space="preserve">Finding</t>
  </si>
  <si>
    <t xml:space="preserve">Severity</t>
  </si>
  <si>
    <t xml:space="preserve">Type</t>
  </si>
  <si>
    <t xml:space="preserve">Action</t>
  </si>
  <si>
    <t xml:space="preserve">Owner</t>
  </si>
  <si>
    <t xml:space="preserve">Blocks</t>
  </si>
  <si>
    <t xml:space="preserve">Status</t>
  </si>
  <si>
    <t xml:space="preserve">Evidence</t>
  </si>
  <si>
    <t xml:space="preserve">AUD-001</t>
  </si>
  <si>
    <t xml:space="preserve">High</t>
  </si>
  <si>
    <t xml:space="preserve">Approval</t>
  </si>
  <si>
    <t xml:space="preserve">Project Owner approved the current document on 1 October 2026. Implementation and verification remain separately tracked.</t>
  </si>
  <si>
    <t xml:space="preserve">Project Owner</t>
  </si>
  <si>
    <t xml:space="preserve">None — document approval recorded</t>
  </si>
  <si>
    <t xml:space="preserve">Closed</t>
  </si>
  <si>
    <t xml:space="preserve">CFG-CHG-002 v0.16 control block; Project Owner instruction 1 October 2026</t>
  </si>
  <si>
    <t xml:space="preserve">AUD-002</t>
  </si>
  <si>
    <t xml:space="preserve">No approval action remains; implementation and verification are tracked separately.</t>
  </si>
  <si>
    <t xml:space="preserve">Authoritative Tender implementation baseline</t>
  </si>
  <si>
    <t xml:space="preserve">TPR-CHG-001 v0.12 approval control block</t>
  </si>
  <si>
    <t xml:space="preserve">AUD-003</t>
  </si>
  <si>
    <t xml:space="preserve">No further requirement approval for v0.8; retain separate TPR v0.13 dependency and production operating gates.</t>
  </si>
  <si>
    <t xml:space="preserve">None—requirements approval recorded</t>
  </si>
  <si>
    <t xml:space="preserve">BDS-CHG-001 v0.8 approval record</t>
  </si>
  <si>
    <t xml:space="preserve">AUD-005</t>
  </si>
  <si>
    <t xml:space="preserve">G1-REG-001 v1.1 control block; Project Owner instruction 1 October 2026</t>
  </si>
  <si>
    <t xml:space="preserve">AUD-006</t>
  </si>
  <si>
    <t xml:space="preserve">Critical</t>
  </si>
  <si>
    <t xml:space="preserve">Bundle readiness</t>
  </si>
  <si>
    <t xml:space="preserve">Rebuild and verify the bundle; install with matching assets and renderer, then Administrator may turn it On.</t>
  </si>
  <si>
    <t xml:space="preserve">Controlled release owner</t>
  </si>
  <si>
    <t xml:space="preserve">Tender publication and production Bid Submission</t>
  </si>
  <si>
    <t xml:space="preserve">Open</t>
  </si>
  <si>
    <t xml:space="preserve">STD-TPL-001 v0.10 in-version amendment; FU-01 OD5; earlier candidate ZIP</t>
  </si>
  <si>
    <t xml:space="preserve">AUD-007</t>
  </si>
  <si>
    <t xml:space="preserve">Operating gate</t>
  </si>
  <si>
    <t xml:space="preserve">Approve support, monitoring, recovery, authority and incident arrangements; then enable the deployment flag.</t>
  </si>
  <si>
    <t xml:space="preserve">Project Owner / Operations</t>
  </si>
  <si>
    <t xml:space="preserve">Production submission</t>
  </si>
  <si>
    <t xml:space="preserve">BDS-CHG-001 v0.8; G1-REG-001 v1.1</t>
  </si>
  <si>
    <t xml:space="preserve">AUD-008</t>
  </si>
  <si>
    <t xml:space="preserve">Reconciliation</t>
  </si>
  <si>
    <t xml:space="preserve">Issue a reconciled fixture version before integrated verification. Also state that the canonical seed covers every module stage as it is built (DEC-028), replacing v1.3 §5.2's "No opening/evaluation/award actual generated by this seed". Carry forward SEED-OPS §11 decisions D1–D4, D7–D8 and D19–D20 into their named document successors. Keep unresolved D5–D6 and D9–D18 open; KT-STD v1.13 is approved; remaining fixture amendments stay open. Generated references are authoritative under DEC-027; static examples must not become alternate seeded tenders.</t>
  </si>
  <si>
    <t xml:space="preserve">Requirements owner</t>
  </si>
  <si>
    <t xml:space="preserve">Reliable end-to-end seed tests</t>
  </si>
  <si>
    <t xml:space="preserve">SEED-001 v1.3 compared with current baseline</t>
  </si>
  <si>
    <t xml:space="preserve">AUD-009</t>
  </si>
  <si>
    <t xml:space="preserve">Medium</t>
  </si>
  <si>
    <t xml:space="preserve">Stale reference</t>
  </si>
  <si>
    <t xml:space="preserve">Refresh document references without changing the approved legal decision.</t>
  </si>
  <si>
    <t xml:space="preserve">Clean reservation implementation handoff</t>
  </si>
  <si>
    <t xml:space="preserve">RES-IMP-001 v1.0 references</t>
  </si>
  <si>
    <t xml:space="preserve">AUD-010</t>
  </si>
  <si>
    <t xml:space="preserve">Missing controlled file</t>
  </si>
  <si>
    <t xml:space="preserve">Locate or admit the exact version and record its authority.</t>
  </si>
  <si>
    <t xml:space="preserve">Documentation owner</t>
  </si>
  <si>
    <t xml:space="preserve">Complete template/tender/bid traceability</t>
  </si>
  <si>
    <t xml:space="preserve">References in current controlled documents</t>
  </si>
  <si>
    <t xml:space="preserve">AUD-011</t>
  </si>
  <si>
    <t xml:space="preserve">Exact v0.5 file supplied 2 October 2026 and recorded in the STD-ST-001 entry; library admission and file ID remain for the documentation owner. (Before 2 October 2026 read: Locate or admit the exact version before integrated stress testing.)</t>
  </si>
  <si>
    <t xml:space="preserve">None for file resolution; see AUD-023 for its approval-effect condition. (Before 2 October 2026 read: Gate 1 integrated verification)</t>
  </si>
  <si>
    <t xml:space="preserve">Resolved</t>
  </si>
  <si>
    <t xml:space="preserve">References in current controlled documents; KenTender_STD-ST-001_STD-ADR-002_Manual_End-to-End_Stress_Test_v0_5.md control table: Version 0.5, Status Approved, Approved on 11 September 2026</t>
  </si>
  <si>
    <t xml:space="preserve">AUD-013</t>
  </si>
  <si>
    <t xml:space="preserve">Cross-module adoption</t>
  </si>
  <si>
    <t xml:space="preserve">Adopt the shared contract in each active module and run persona/state conformance tests.</t>
  </si>
  <si>
    <t xml:space="preserve">Requirements and implementation owners</t>
  </si>
  <si>
    <t xml:space="preserve">Usability-complete Gate 1 verification</t>
  </si>
  <si>
    <t xml:space="preserve">KT-STD-001 v1.9; PLN-CHG-001 v1.27; Workflow Guidance Standard</t>
  </si>
  <si>
    <t xml:space="preserve">AUD-014</t>
  </si>
  <si>
    <t xml:space="preserve">Implementation handoff</t>
  </si>
  <si>
    <t xml:space="preserve">Issue a controlled SEED successor before integrated implementation verification.</t>
  </si>
  <si>
    <t xml:space="preserve">One reproducible end-to-end test baseline</t>
  </si>
  <si>
    <t xml:space="preserve">G1-REG-001 v1.1; SEED-001 v1.3 compared with current baseline</t>
  </si>
  <si>
    <t xml:space="preserve">AUD-016</t>
  </si>
  <si>
    <t xml:space="preserve">AUTH-ADR-001 v1.10 control block; Project Owner instruction 1 October 2026</t>
  </si>
  <si>
    <t xml:space="preserve">AUD-020</t>
  </si>
  <si>
    <t xml:space="preserve">Implementation evidence reconciliation</t>
  </si>
  <si>
    <t xml:space="preserve">Link versioned build/test evidence and the Award plan. Verify complete module acceptance and current seed outcomes separately. Do not infer production readiness or requirements approval from seed results.</t>
  </si>
  <si>
    <t xml:space="preserve">Implementation and verification owners</t>
  </si>
  <si>
    <t xml:space="preserve">Full implementation/verification closure for the affected modules</t>
  </si>
  <si>
    <t xml:space="preserve">SEED-OPS v1.18 §§2, 9A–9B, 10–11; supplied register SEED-OPS entry reports 23/23 tests on 1 October 2026.</t>
  </si>
  <si>
    <t xml:space="preserve">AUD-022</t>
  </si>
  <si>
    <t xml:space="preserve">Reconcile the citations in each document's next successor without changing approved behaviour; the TPR and BDS walkthrough successors are the natural vehicle.</t>
  </si>
  <si>
    <t xml:space="preserve">Clean template/tender/bid traceability</t>
  </si>
  <si>
    <t xml:space="preserve">TPR-CHG-001 v0.15 control table 'Owner contracts' and §17; BDS-CHG-001 v0.10 control table, §17 and BDS06-AC-001; STD-TPL-001 v0.13 control table 'Implementation authority' and §17</t>
  </si>
  <si>
    <t xml:space="preserve">AUD-023</t>
  </si>
  <si>
    <t xml:space="preserve">Record whether the §13 walkthroughs were held, waived or superseded, and whether STD-TPL-IMP-001 v1.1 is the required implementation pack.</t>
  </si>
  <si>
    <t xml:space="preserve">Clean authority trail for STD template implementation</t>
  </si>
  <si>
    <t xml:space="preserve">STD-ST-001 v0.5 'Approval effect' and §13</t>
  </si>
  <si>
    <t xml:space="preserve">AUD-024</t>
  </si>
  <si>
    <t xml:space="preserve">Low</t>
  </si>
  <si>
    <t xml:space="preserve">Version coordination</t>
  </si>
  <si>
    <t xml:space="preserve">Settle the numbering before approval; renumber and rebase the later one without changing its content (STD-TPL-001 proposed v0.14 control table, 'Version coordination (v0.14)').</t>
  </si>
  <si>
    <t xml:space="preserve">Approval of STD-TPL-001 v0.14</t>
  </si>
  <si>
    <t xml:space="preserve">KenTender_STD-TPL-001_IT_Equipment_Tender_Template_Curation_and_Release_Pack_v0_14.md control table</t>
  </si>
  <si>
    <t xml:space="preserve">Control rules</t>
  </si>
  <si>
    <t xml:space="preserve">1</t>
  </si>
  <si>
    <t xml:space="preserve">One current authority</t>
  </si>
  <si>
    <t xml:space="preserve">Only the version listed as current controls implementation. Older documents remain historical.</t>
  </si>
  <si>
    <t xml:space="preserve">2</t>
  </si>
  <si>
    <t xml:space="preserve">Four separate states</t>
  </si>
  <si>
    <t xml:space="preserve">Requirement approval never proves implementation, verification or production release.</t>
  </si>
  <si>
    <t xml:space="preserve">3</t>
  </si>
  <si>
    <t xml:space="preserve">Interfaces are first-class</t>
  </si>
  <si>
    <t xml:space="preserve">A module is not complete until every upstream and downstream contract is closed and tested.</t>
  </si>
  <si>
    <t xml:space="preserve">4</t>
  </si>
  <si>
    <t xml:space="preserve">Future work remains visible</t>
  </si>
  <si>
    <t xml:space="preserve">Deferred capabilities stay recorded with a boundary and trigger; they are not hidden placeholders in the current UI.</t>
  </si>
  <si>
    <t xml:space="preserve">Controlled documents</t>
  </si>
  <si>
    <t xml:space="preserve">Current authorities only. Historical and superseded versions are excluded from this working baseline. Filter by module or any of the four independent status dimensions.</t>
  </si>
  <si>
    <t xml:space="preserve">Document ID</t>
  </si>
  <si>
    <t xml:space="preserve">Title</t>
  </si>
  <si>
    <t xml:space="preserve">Version</t>
  </si>
  <si>
    <t xml:space="preserve">Module</t>
  </si>
  <si>
    <t xml:space="preserve">Category</t>
  </si>
  <si>
    <t xml:space="preserve">Requirement status</t>
  </si>
  <si>
    <t xml:space="preserve">Approval date</t>
  </si>
  <si>
    <t xml:space="preserve">Supersedes / basis</t>
  </si>
  <si>
    <t xml:space="preserve">Implementation</t>
  </si>
  <si>
    <t xml:space="preserve">Verification</t>
  </si>
  <si>
    <t xml:space="preserve">Release</t>
  </si>
  <si>
    <t xml:space="preserve">Normative</t>
  </si>
  <si>
    <t xml:space="preserve">Scope</t>
  </si>
  <si>
    <t xml:space="preserve">Dependencies</t>
  </si>
  <si>
    <t xml:space="preserve">Required action</t>
  </si>
  <si>
    <t xml:space="preserve">Source</t>
  </si>
  <si>
    <t xml:space="preserve">STR-CHG-001</t>
  </si>
  <si>
    <t xml:space="preserve">Clean Strategy Alignment</t>
  </si>
  <si>
    <t xml:space="preserve">1.8</t>
  </si>
  <si>
    <t xml:space="preserve">Strategy Alignment</t>
  </si>
  <si>
    <t xml:space="preserve">Module requirements</t>
  </si>
  <si>
    <t xml:space="preserve">Approved requirement</t>
  </si>
  <si>
    <t xml:space="preserve">v1.7 and earlier</t>
  </si>
  <si>
    <t xml:space="preserve">Not evidenced</t>
  </si>
  <si>
    <t xml:space="preserve">Not applicable</t>
  </si>
  <si>
    <t xml:space="preserve">Yes</t>
  </si>
  <si>
    <t xml:space="preserve">Strategy objectives and accepted alignment evidence consumed by Planning.</t>
  </si>
  <si>
    <t xml:space="preserve">KT-STD-001; AUTH-ADR-001</t>
  </si>
  <si>
    <t xml:space="preserve">Retain as current controlled baseline.</t>
  </si>
  <si>
    <t xml:space="preserve">https://chatgpt.com/api/library/files/libfile_f5502a30807c8191b8d3f2910b96a9dc/download</t>
  </si>
  <si>
    <t xml:space="preserve">BUD-CHG-001</t>
  </si>
  <si>
    <t xml:space="preserve">Clean Budget and Funding</t>
  </si>
  <si>
    <t xml:space="preserve">1.11</t>
  </si>
  <si>
    <t xml:space="preserve">Budget and Funding</t>
  </si>
  <si>
    <t xml:space="preserve">v1.10 approved 23 September 2026; v1.9 and earlier</t>
  </si>
  <si>
    <t xml:space="preserve">Funding ceilings, affordability, reservations and commitments, plus the Budget-owned receiving side of a Planning budget revision request. Budget remains separate from the statutory APP reservation denominator.</t>
  </si>
  <si>
    <t xml:space="preserve">PLN-CHG-001 v1.27; LAW-REG-001 v1.2; KT-STD-001 v1.8</t>
  </si>
  <si>
    <t xml:space="preserve">Implement the budget revision request receive, decline, withdraw and outcome contracts without treating the request as a revision, reservation or amount change.</t>
  </si>
  <si>
    <t xml:space="preserve">https://chatgpt.com/api/library/files/libfile_9ee7baefbc088191af5a27ce1d7f7aff/download</t>
  </si>
  <si>
    <t xml:space="preserve">NDS-CHG-001</t>
  </si>
  <si>
    <t xml:space="preserve">Clean Departmental Needs</t>
  </si>
  <si>
    <t xml:space="preserve">1.14</t>
  </si>
  <si>
    <t xml:space="preserve">Departmental Needs</t>
  </si>
  <si>
    <t xml:space="preserve">v1.13 and earlier</t>
  </si>
  <si>
    <t xml:space="preserve">Simple need capture, review and acceptance; consultation is optional and is not a gate.</t>
  </si>
  <si>
    <t xml:space="preserve">PLN-CHG-001; KT-STD-001</t>
  </si>
  <si>
    <t xml:space="preserve">https://chatgpt.com/api/library/files/libfile_43204a8a82548191a05d0c20cabf0283/download</t>
  </si>
  <si>
    <t xml:space="preserve">PLN-CHG-001</t>
  </si>
  <si>
    <t xml:space="preserve">Clean Procurement Planning</t>
  </si>
  <si>
    <t xml:space="preserve">1.27</t>
  </si>
  <si>
    <t xml:space="preserve">Procurement Planning</t>
  </si>
  <si>
    <t xml:space="preserve">v1.26 approved 25 September 2026; v1.25 approved 23 September 2026; all earlier Planning specifications</t>
  </si>
  <si>
    <t xml:space="preserve">Not implemented</t>
  </si>
  <si>
    <t xml:space="preserve">Complete Planning authority including the current-complete-APP reservation denominator, next-step and journey contract, corrected funding-request blockers, Planning-side budget revision request, hand-off register and Purchase-ready-for-requisition item.</t>
  </si>
  <si>
    <t xml:space="preserve">STR-CHG-001 v1.8; BUD-CHG-001 v1.11; NDS-CHG-001 v1.14; CFG-CHG-002 v0.13+; REQ-CHG-001 v1.12; KT-STD-001 v1.8</t>
  </si>
  <si>
    <t xml:space="preserve">Implement the approved v1.27 runtime and design contracts, including blocker explanations, budget revision hand-off and no-dead-end acceptance.</t>
  </si>
  <si>
    <t xml:space="preserve">https://chatgpt.com/api/library/files/libfile_efd27d9b04ac8191bb06e17aef384d2e/download</t>
  </si>
  <si>
    <t xml:space="preserve">REQ-CHG-001</t>
  </si>
  <si>
    <t xml:space="preserve">Structured Procurement Requisitions</t>
  </si>
  <si>
    <t xml:space="preserve">1.12</t>
  </si>
  <si>
    <t xml:space="preserve">Procurement Requisitions</t>
  </si>
  <si>
    <t xml:space="preserve">v1.11 approved 24 September 2026; v1.9 and earlier; v1.10 remains withdrawn</t>
  </si>
  <si>
    <t xml:space="preserve">Structured requisition preparation, Planning-created Purchase ready for requisition hand-off, Budget reservation at authorisation and authorised handoff to Tenders.</t>
  </si>
  <si>
    <t xml:space="preserve">PLN-CHG-001 v1.27; BUD-CHG-001 v1.11; TPR-CHG-001; STD-TPL-001; STD-STD-001 v1.1</t>
  </si>
  <si>
    <t xml:space="preserve">Implement the REQ-owned ready-to-start item and verify exact Planning, Budget and Tender contracts.</t>
  </si>
  <si>
    <t xml:space="preserve">https://chatgpt.com/api/library/files/libfile_7fc3b6d8360c8191b1156d352993f7c3/download</t>
  </si>
  <si>
    <t xml:space="preserve">CFG-CHG-002</t>
  </si>
  <si>
    <t xml:space="preserve">Site Configuration and System Setup</t>
  </si>
  <si>
    <t xml:space="preserve">0.16</t>
  </si>
  <si>
    <t xml:space="preserve">System Setup</t>
  </si>
  <si>
    <t xml:space="preserve">v0.15; prior approved v0.13 retained</t>
  </si>
  <si>
    <t xml:space="preserve">Planned</t>
  </si>
  <si>
    <t xml:space="preserve">Site, responsibilities, procurement rules, schedules, STD Templates inspection and supplier portal operating settings.</t>
  </si>
  <si>
    <t xml:space="preserve">AUTH-ADR-001; PLN-CHG-001; TPR-CHG-001; BDS-CHG-001; STD-TPL-001</t>
  </si>
  <si>
    <t xml:space="preserve">Approved 1 October 2026. Implement and verify the approved contract; retain existing release gates and open substantive findings.</t>
  </si>
  <si>
    <t xml:space="preserve">https://chatgpt.com/api/library/files/libfile_e587a6e7587081918df85fee00004930/download</t>
  </si>
  <si>
    <t xml:space="preserve">TPR-CHG-001</t>
  </si>
  <si>
    <t xml:space="preserve">Tenders</t>
  </si>
  <si>
    <t xml:space="preserve">0.15</t>
  </si>
  <si>
    <t xml:space="preserve">Tender Preparation and Publication</t>
  </si>
  <si>
    <t xml:space="preserve">v0.13; prior approvals retained</t>
  </si>
  <si>
    <t xml:space="preserve">Approved Tender preparation, approval, publication, clarifications, addenda, cancellation, exact bound STD-release lifecycle including published Superseded/Withdrawn behavior, and KT-STD-001 v1.8 journey guidance.</t>
  </si>
  <si>
    <t xml:space="preserve">REQ-CHG-001 v1.12; CFG-CHG-002 v0.16; STD-TPL-001 v0.10; STD-TPL-IMP-001 v1.1; BDS-CHG-001 v0.8; BOP-CHG-001 v0.10 and PRC-CHG-001 v0.9 proposed for post-close cancellation; Award-status owner pending</t>
  </si>
  <si>
    <t xml:space="preserve">https://chatgpt.com/api/library/files/libfile_000ff3f0efe881918a374f6f15819fbb/download</t>
  </si>
  <si>
    <t xml:space="preserve">BDS-CHG-001</t>
  </si>
  <si>
    <t xml:space="preserve">Supplier Portal and Electronic Bid Submission</t>
  </si>
  <si>
    <t xml:space="preserve">0.10</t>
  </si>
  <si>
    <t xml:space="preserve">Supplier/Bidder Workspace and Bid Submission</t>
  </si>
  <si>
    <t xml:space="preserve">v0.8; prior approvals retained</t>
  </si>
  <si>
    <t xml:space="preserve">In progress</t>
  </si>
  <si>
    <t xml:space="preserve">Pending</t>
  </si>
  <si>
    <t xml:space="preserve">Blocked</t>
  </si>
  <si>
    <t xml:space="preserve">Public discovery, supplier Account, structured Goods/IT bid preparation, signature, receipt, replacement and sealed Bid Opening handoff, with actor-specific guidance and bound STD-release controls.</t>
  </si>
  <si>
    <t xml:space="preserve">TPR-CHG-001 v0.13; STD-TPL-001 v0.10; STD-TPL-IMP-001 v1.1; CFG-CHG-002 v0.16; AUTH-ADR-001 v1.10; KT-STD-001 v1.8; G1-REG-001 v1.1</t>
  </si>
  <si>
    <t xml:space="preserve">https://chatgpt.com/api/library/files/libfile_f8038abb4ed08191983a122d03a31c1f/download</t>
  </si>
  <si>
    <t xml:space="preserve">STD-TPL-001</t>
  </si>
  <si>
    <t xml:space="preserve">IT Equipment Tender Template Curation and Release Pack</t>
  </si>
  <si>
    <t xml:space="preserve">0.13</t>
  </si>
  <si>
    <t xml:space="preserve">STD Templates</t>
  </si>
  <si>
    <t xml:space="preserve">Template standard</t>
  </si>
  <si>
    <t xml:space="preserve">v0.12 approved 26 September 2026 (its approval also approved the v0.11 content it carried forward; v0.11 was not approved separately); v0.10 approved 26 September 2026; v0.9 and earlier</t>
  </si>
  <si>
    <t xml:space="preserve">Candidate</t>
  </si>
  <si>
    <t xml:space="preserve">Controlled template content and construction, installed integrity, administrative inspection and Administrator On/Off switch for new Tender binding. v0.12 and v0.13 add, from template release 1.2, the first supplier task wording, supplied values, label parameters, the joint-venture member composition, the tender security amount and expiry response and per-obligation warranty/support responses.</t>
  </si>
  <si>
    <t xml:space="preserve">KT-STD-001 v1.8; REQ-CHG-001 v1.12; TPR-CHG-001 v0.11; BDS-CHG-001 v0.7 and v0.8; STD-TPL-IMP-001 v1.0; CFG-CHG-002 v0.16 (as cited in v0.13; see AUD-022)</t>
  </si>
  <si>
    <t xml:space="preserve">Approved v0.13 governs (register corrected 2 October 2026 from v0.10; AUD-021). Release 1.2 shows Confidential Business Questionnaire defects found in QA on 2 October 2026; Parts A and B are to be made in successor versions (DEC-035). v0.14 adds the template walkthrough and validator checks 22 and 23 (DEC-036). (Before 2 October 2026 read: Finish and verify release 1.1 assets; install the compatible digest-matched bundle On by default or Off by deployment request. No separate manifest approval.)</t>
  </si>
  <si>
    <t xml:space="preserve">STD-TPL-IMP-001</t>
  </si>
  <si>
    <t xml:space="preserve">Installed STD Template Runtime</t>
  </si>
  <si>
    <t xml:space="preserve">1.1</t>
  </si>
  <si>
    <t xml:space="preserve">Implementation authority</t>
  </si>
  <si>
    <t xml:space="preserve">v1.0 proposed but never approved; v0.2 historical</t>
  </si>
  <si>
    <t xml:space="preserve">Not started</t>
  </si>
  <si>
    <t xml:space="preserve">Immutable installed-release runtime, verified installation, shared compiler, renderer adapters, inspection and deployment-only per-site On/Off switch.</t>
  </si>
  <si>
    <t xml:space="preserve">STD-TPL-001 v0.10; TPR-CHG-001 v0.12; BDS-CHG-001 v0.7; AUTH-ADR-001 v1.10; KT-STD-001 v1.8</t>
  </si>
  <si>
    <t xml:space="preserve">Implement approved v1.1; reconcile TPR, REQ, BDS and Gate 1 references to OD5. The bundle remains uninstalled and unverified.</t>
  </si>
  <si>
    <t xml:space="preserve">https://chatgpt.com/api/library/files/libfile_87bca073b1b081918cc5cefdff08adcc/download</t>
  </si>
  <si>
    <t xml:space="preserve">KT-STD-001</t>
  </si>
  <si>
    <t xml:space="preserve">Document, Design and Verification Standards</t>
  </si>
  <si>
    <t xml:space="preserve">1.13</t>
  </si>
  <si>
    <t xml:space="preserve">All</t>
  </si>
  <si>
    <t xml:space="preserve">Cross-cutting standard</t>
  </si>
  <si>
    <t xml:space="preserve">v1.12; prior approvals retained</t>
  </si>
  <si>
    <t xml:space="preserve">Passed</t>
  </si>
  <si>
    <t xml:space="preserve">Current cross-cutting standard, including plain language, minimum steps, Scheduled next step and actor/state/event conformance; v1.11 adds the §8.3 fixture actors Daniel Otieno (technical operator) and Jane Wanjiku (public observer), and v1.12 adds Nadia Kamau (release operator); retains earlier design and verification rules.</t>
  </si>
  <si>
    <t xml:space="preserve">Workflow Guidance Standard; all controlled change documents</t>
  </si>
  <si>
    <t xml:space="preserve">https://chatgpt.com/api/library/files/libfile_d876cfb801d081918a934d19cb507568/download</t>
  </si>
  <si>
    <t xml:space="preserve">AUTH-ADR-001</t>
  </si>
  <si>
    <t xml:space="preserve">Role-Bound Business Responsibility and Organisational Scope</t>
  </si>
  <si>
    <t xml:space="preserve">1.10</t>
  </si>
  <si>
    <t xml:space="preserve">Identity and Access</t>
  </si>
  <si>
    <t xml:space="preserve">Architecture decision record</t>
  </si>
  <si>
    <t xml:space="preserve">v1.9; prior approvals retained</t>
  </si>
  <si>
    <t xml:space="preserve">Approved v1.9 responsibility model plus bounded, non-authoritative STD-template inspection and concern access for Procurement Officer and HOPF.</t>
  </si>
  <si>
    <t xml:space="preserve">CFG-CHG-002 v0.16; STD-TPL-001 v0.10; all role-aware modules</t>
  </si>
  <si>
    <t xml:space="preserve">https://chatgpt.com/api/library/files/libfile_177096acafa48191a78718d3872b3d79/download</t>
  </si>
  <si>
    <t xml:space="preserve">LAW-REG-001</t>
  </si>
  <si>
    <t xml:space="preserve">Statutory Correction Register</t>
  </si>
  <si>
    <t xml:space="preserve">1.2</t>
  </si>
  <si>
    <t xml:space="preserve">Cross-cutting law</t>
  </si>
  <si>
    <t xml:space="preserve">Statutory register</t>
  </si>
  <si>
    <t xml:space="preserve">v1.1 where corrected</t>
  </si>
  <si>
    <t xml:space="preserve">Controlling legal corrections including the 30% reservation interpretation.</t>
  </si>
  <si>
    <t xml:space="preserve">BUD-CHG-001; PLN-CHG-001; REQ-CHG-001; TPR-CHG-001; BDS-CHG-001</t>
  </si>
  <si>
    <t xml:space="preserve">Use as the legal correction authority during implementation review.</t>
  </si>
  <si>
    <t xml:space="preserve">https://chatgpt.com/api/library/files/libfile_c19ced3db1288191b591bf4e43eb6573/download</t>
  </si>
  <si>
    <t xml:space="preserve">SEED-001</t>
  </si>
  <si>
    <t xml:space="preserve">Harmonized End-to-End Fixture</t>
  </si>
  <si>
    <t xml:space="preserve">1.3</t>
  </si>
  <si>
    <t xml:space="preserve">Cross-module</t>
  </si>
  <si>
    <t xml:space="preserve">Fixture standard</t>
  </si>
  <si>
    <t xml:space="preserve">v1.2 and earlier</t>
  </si>
  <si>
    <t xml:space="preserve">Shared deterministic actors, dates, values and identities across modules.</t>
  </si>
  <si>
    <t xml:space="preserve">All modules</t>
  </si>
  <si>
    <t xml:space="preserve">Reconcile to the reservation correction and Gate 1 public/vendor documents before integrated verification.</t>
  </si>
  <si>
    <t xml:space="preserve">https://chatgpt.com/api/library/files/libfile_a5c959436ba48191912c97c010513fdb/download</t>
  </si>
  <si>
    <t xml:space="preserve">SEED-OPS-001</t>
  </si>
  <si>
    <t xml:space="preserve">Canonical Site Seed Runbook</t>
  </si>
  <si>
    <t xml:space="preserve">1.19</t>
  </si>
  <si>
    <t xml:space="preserve">Operational runbook</t>
  </si>
  <si>
    <t xml:space="preserve">Approved reference</t>
  </si>
  <si>
    <t xml:space="preserve">v1.18; v1.17 retained separately; earlier version history retained</t>
  </si>
  <si>
    <t xml:space="preserve">Implemented</t>
  </si>
  <si>
    <t xml:space="preserve">No</t>
  </si>
  <si>
    <t xml:space="preserve">Resetting a site to the canonical seed world (KT-STD-001 §8 and SEED-001), stage by stage from site to award: options, what the clear removes, validation, demo profiles and troubleshooting.</t>
  </si>
  <si>
    <t xml:space="preserve">KT-STD-001 v1.12 approved; supplied v1.13 proposed fixture amendment used under recorded owner direction; SEED-001 v1.3 pending reconciliation; EVL v0.4 approved; AWD v0.4 proposed</t>
  </si>
  <si>
    <t xml:space="preserve">Approved 1 October 2026. Implement and verify the approved contract; retain existing release gates and open substantive findings. Seed test success remains reported evidence only; full module evidence is tracked under AUD-020.</t>
  </si>
  <si>
    <t xml:space="preserve">https://chatgpt.com/api/library/files/libfile_59689abd7c808191b1dfb20b3cc1c13b/download</t>
  </si>
  <si>
    <t xml:space="preserve">G1-REG-001</t>
  </si>
  <si>
    <t xml:space="preserve">Public/Vendor MVP Closure and Implementation Handoff</t>
  </si>
  <si>
    <t xml:space="preserve">Gate 1</t>
  </si>
  <si>
    <t xml:space="preserve">v1.0</t>
  </si>
  <si>
    <t xml:space="preserve">Reconciled implementation sequence from public discovery through sealed Bid Submission, including the installed STD runtime and in-flight release lifecycle.</t>
  </si>
  <si>
    <t xml:space="preserve">CFG v0.16; STD-TPL v0.10; STD-TPL-IMP v1.0; TPR v0.11; BDS v0.7; REQ v1.12; PLN v1.27; BUD v1.11; AUTH v1.10; KT-STD v1.8</t>
  </si>
  <si>
    <t xml:space="preserve">https://chatgpt.com/api/library/files/libfile_f8ffd7bdcf1c8191b434d098ba12e93b/download</t>
  </si>
  <si>
    <t xml:space="preserve">KT-RCA-001</t>
  </si>
  <si>
    <t xml:space="preserve">Roadmap Coverage Assessment</t>
  </si>
  <si>
    <t xml:space="preserve">Programme</t>
  </si>
  <si>
    <t xml:space="preserve">Programme assessment</t>
  </si>
  <si>
    <t xml:space="preserve">Directional</t>
  </si>
  <si>
    <t xml:space="preserve">v1.1</t>
  </si>
  <si>
    <t xml:space="preserve">Coverage through approved Bid Opening v0.10 and Evaluation v0.4; Award next, followed by Supplier Management. Proposed coordinated amendments and production gates remain distinct.</t>
  </si>
  <si>
    <t xml:space="preserve">Source roadmap; current controlled baseline</t>
  </si>
  <si>
    <t xml:space="preserve">Use v1.2 for programme sequencing: Award next. Directional assessment only; preserves owner approvals, Gate 1 boundary and outstanding integration/release work.</t>
  </si>
  <si>
    <t xml:space="preserve">https://chatgpt.com/api/library/files/libfile_483ff064d904819188eaf4179672fb39/download</t>
  </si>
  <si>
    <t xml:space="preserve">RES-IMP-001</t>
  </si>
  <si>
    <t xml:space="preserve">Reservation Correction Implementation Handoff</t>
  </si>
  <si>
    <t xml:space="preserve">1.0</t>
  </si>
  <si>
    <t xml:space="preserve">Cross-module reservation</t>
  </si>
  <si>
    <t xml:space="preserve">Functional and design correction for the statutory reservation denominator and downstream propagation.</t>
  </si>
  <si>
    <t xml:space="preserve">LAW-REG-001; PLN-CHG-001; REQ-CHG-001; TPR-CHG-001; BDS-CHG-001</t>
  </si>
  <si>
    <t xml:space="preserve">https://chatgpt.com/api/library/files/libfile_ecce449ece2081919d35d737bb7dd314/download</t>
  </si>
  <si>
    <t xml:space="preserve">WFG-STD</t>
  </si>
  <si>
    <t xml:space="preserve">KenTender Workflow Guidance Standard</t>
  </si>
  <si>
    <t xml:space="preserve">Unversioned approved source</t>
  </si>
  <si>
    <t xml:space="preserve">Cross-module UX and workflow</t>
  </si>
  <si>
    <t xml:space="preserve">Approved source standard</t>
  </si>
  <si>
    <t xml:space="preserve">Yes—through KT-STD-001 v1.9 and module adoption</t>
  </si>
  <si>
    <t xml:space="preserve">Defines the no-dead-ends test, shared next-step response, My Work hand-off coverage, restrained journey tracker and Home guidance using the Planning over-budget case.</t>
  </si>
  <si>
    <t xml:space="preserve">KT-STD-001 v1.9; module-specific adoption</t>
  </si>
  <si>
    <t xml:space="preserve">Retain as approved provenance. Implement operative wording from KT-STD-001 v1.9 and each current module document.</t>
  </si>
  <si>
    <t xml:space="preserve">https://chatgpt.com/api/library/files/libfile_ac20011f049881919843681b0461c5cb/download</t>
  </si>
  <si>
    <t xml:space="preserve">PLN-JOURNEY-REF</t>
  </si>
  <si>
    <t xml:space="preserve">PLN-CHG-001 Next-step and journey content</t>
  </si>
  <si>
    <t xml:space="preserve">Draft input dated 2026-09-25</t>
  </si>
  <si>
    <t xml:space="preserve">Module amendment source</t>
  </si>
  <si>
    <t xml:space="preserve">Historical provenance</t>
  </si>
  <si>
    <t xml:space="preserve">Absorbed by approved PLN-CHG-001 v1.26 and v1.27</t>
  </si>
  <si>
    <t xml:space="preserve">Draft wording and per-screen next-step/journey proposal used to prepare Planning v1.26.</t>
  </si>
  <si>
    <t xml:space="preserve">Workflow Guidance Standard; KT-STD-001 v1.8; PLN-CHG-001 v1.25</t>
  </si>
  <si>
    <t xml:space="preserve">Do not use as a separate implementation authority; retain only as provenance for PLN v1.27.</t>
  </si>
  <si>
    <t xml:space="preserve">https://chatgpt.com/api/library/files/libfile_4453ef182d708191846615aaff160810/download</t>
  </si>
  <si>
    <t xml:space="preserve">ISSUE-UJ-001</t>
  </si>
  <si>
    <t xml:space="preserve">Opaqueness in the user journey</t>
  </si>
  <si>
    <t xml:space="preserve">Issue record dated 2026-09-25</t>
  </si>
  <si>
    <t xml:space="preserve">Issue and recommendation evidence</t>
  </si>
  <si>
    <t xml:space="preserve">Issue evidence</t>
  </si>
  <si>
    <t xml:space="preserve">Records the over-budget Planning dead end and recommends a no-dead-ends test, shared next-step block, complete My Work hand-offs, journey tracking and a useful Home page.</t>
  </si>
  <si>
    <t xml:space="preserve">Workflow Guidance Standard; KT-STD-001 v1.8; PLN-CHG-001 v1.27</t>
  </si>
  <si>
    <t xml:space="preserve">Retain as evidence of the defect and recommendation; implement only through approved standards and module documents.</t>
  </si>
  <si>
    <t xml:space="preserve">https://chatgpt.com/api/library/files/libfile_cb7fa45e06648191a017461fc2ff2480/download</t>
  </si>
  <si>
    <t xml:space="preserve">ROADMAP-SRC</t>
  </si>
  <si>
    <t xml:space="preserve">KenTender ePublic Milestone Overview</t>
  </si>
  <si>
    <t xml:space="preserve">Source roadmap</t>
  </si>
  <si>
    <t xml:space="preserve">Initial client roadmap and milestone intent.</t>
  </si>
  <si>
    <t xml:space="preserve">Retain as source context; resolve implementation from controlled module documents.</t>
  </si>
  <si>
    <t xml:space="preserve">https://chatgpt.com/api/library/files/libfile_a58ca41f1fb88191a0431e50ae42ef1b/download</t>
  </si>
  <si>
    <t xml:space="preserve">IT-EQUIPMENT-OPEN-V1</t>
  </si>
  <si>
    <t xml:space="preserve">IT Equipment Open Tender Release Bundle</t>
  </si>
  <si>
    <t xml:space="preserve">candidate</t>
  </si>
  <si>
    <t xml:space="preserve">Release artifact</t>
  </si>
  <si>
    <t xml:space="preserve">Earlier candidate ZIP; requires reconciliation to amended STD-TPL-001 v0.10 before installation and Administrator On.</t>
  </si>
  <si>
    <t xml:space="preserve">STD-TPL-001 v0.10; STD-TPL-IMP-001 v1.1</t>
  </si>
  <si>
    <t xml:space="preserve">Rebuild and verify the bundle and renderer compatibility; do not treat this earlier ZIP as installed or On. Observation, 2 October 2026: QA exercised template release 1.2 (manifest status Candidate) on Tender TND-MOH-2027-002 and found Confidential Business Questionnaire defects (DEC-035). No status here is changed by that observation.</t>
  </si>
  <si>
    <t xml:space="preserve">https://chatgpt.com/api/library/files/libfile_7350870ee594819189729148528d97d7/download</t>
  </si>
  <si>
    <t xml:space="preserve">STD-STD-001</t>
  </si>
  <si>
    <t xml:space="preserve">Referenced structured-tender standard</t>
  </si>
  <si>
    <t xml:space="preserve">Tenders/Bids</t>
  </si>
  <si>
    <t xml:space="preserve">Referenced standard</t>
  </si>
  <si>
    <t xml:space="preserve">Referenced—unresolved</t>
  </si>
  <si>
    <t xml:space="preserve">Unknown</t>
  </si>
  <si>
    <t xml:space="preserve">Referenced by current documents but the exact controlled file was not resolved in the admitted set.</t>
  </si>
  <si>
    <t xml:space="preserve">STD-TPL-001; TPR-CHG-001; BDS-CHG-001</t>
  </si>
  <si>
    <t xml:space="preserve">Locate or admit the exact v1.1 controlled file, then reconcile its authority and dependencies.</t>
  </si>
  <si>
    <t xml:space="preserve">STD-ST-001</t>
  </si>
  <si>
    <t xml:space="preserve">Practical STD and Tender-Preparation Stress Test</t>
  </si>
  <si>
    <t xml:space="preserve">0.5</t>
  </si>
  <si>
    <t xml:space="preserve">v0.4 approved 7 September 2026; earlier versions</t>
  </si>
  <si>
    <t xml:space="preserve">Comparative stress test of STD-ADR-002 v1.0: no operational STD Configuration engine; code-owned, versioned tender patterns; locked official text; finite tender decisions and fixed schedules. Implementation authority: none. (Before 2 October 2026 read: Referenced by current documents but the exact controlled v0.5 file was not resolved in the admitted set.)</t>
  </si>
  <si>
    <t xml:space="preserve">STD-ADR-002 v1.0; STD-STD-001 v1.1; AUTH-ADR-001 v1.7 (as cited in v0.5)</t>
  </si>
  <si>
    <t xml:space="preserve">Exact v0.5 file supplied by the Project Owner on 2 October 2026; admit it to the document library and record its library file ID. Its approval effect requires the §13 human walkthroughs and a separately approved narrow implementation pack before implementation (AUD-023). (Before 2 October 2026 read: Locate or admit the exact v0.5 controlled file before final integrated verification.)</t>
  </si>
  <si>
    <t xml:space="preserve">TRUST-ADR-001</t>
  </si>
  <si>
    <t xml:space="preserve">Shared Signing and Sealed Custody</t>
  </si>
  <si>
    <t xml:space="preserve">0.1</t>
  </si>
  <si>
    <t xml:space="preserve">Shared Trust Infrastructure</t>
  </si>
  <si>
    <t xml:space="preserve">Architecture decision</t>
  </si>
  <si>
    <t xml:space="preserve">Locks two distinct signing/decision semantics and separate multi-person sealed-bid custody, defers actual production mechanisms to a shared support module, and permits synthetic test proxies only.</t>
  </si>
  <si>
    <t xml:space="preserve">BDS-CHG-001 v0.8 (v0.9 proposed); BOP-CHG-001 v0.10 proposed; PRC-CHG-001 v0.9 proposed; LAW-V-001</t>
  </si>
  <si>
    <t xml:space="preserve">Approved v0.1 remains architecture authority. Its static Consumers row cites historical BOP v0.1/PRC v0.2; update by a later controlled revision. Test infrastructure administrator is outside proxy confidentiality guarantee. Production support module and operating profile remain separate.</t>
  </si>
  <si>
    <t xml:space="preserve">https://chatgpt.com/api/library/files/libfile_d1eb23c985808191b4a6e33a29af86b5/download</t>
  </si>
  <si>
    <t xml:space="preserve">BOP-CHG-001</t>
  </si>
  <si>
    <t xml:space="preserve">Electronic Bid Opening</t>
  </si>
  <si>
    <t xml:space="preserve">Bid Opening</t>
  </si>
  <si>
    <t xml:space="preserve">v0.9 approved 29 September 2026, retained as historical evidence</t>
  </si>
  <si>
    <t xml:space="preserve">Not approved</t>
  </si>
  <si>
    <t xml:space="preserve">Approved design and development contract. v0.10 adds the opening-access-unavailable scenario, four completed-record correction kinds, the AO Your turn state and a unified Tender route.</t>
  </si>
  <si>
    <t xml:space="preserve">KT-STD-001 v1.10 approved; TPR-CHG-001 v0.13 approved (v0.14 post-close seam proposed); BDS-CHG-001 v0.8 approved (v0.9 correction proposed); PRC-CHG-001 v0.9 approved; TRUST-ADR-001 v0.1 approved; LAW-V-001; future Evaluation intake</t>
  </si>
  <si>
    <t xml:space="preserve">Implement approved v0.10 under KT-STD-001 v1.10 with PRC v0.9. Preserve deferred signing/custody support and the separate TPR v0.14 dependency. SEED-OPS v1.18 reports a built canonical stage; this supports In progress, not full implementation or acceptance completion. Verify module-wide evidence under AUD-020.</t>
  </si>
  <si>
    <t xml:space="preserve">https://chatgpt.com/api/library/files/libfile_a398ef6e43f08191981ed3372ee79e29/download</t>
  </si>
  <si>
    <t xml:space="preserve">PRC-CHG-001</t>
  </si>
  <si>
    <t xml:space="preserve">Minimal Procurement Proceedings</t>
  </si>
  <si>
    <t xml:space="preserve">Procurement Proceedings</t>
  </si>
  <si>
    <t xml:space="preserve">v0.9; prior approvals retained</t>
  </si>
  <si>
    <t xml:space="preserve">Approved minimal shared service bound to BOP v0.10: attributed pre-session arrivals carried into actual session view, owner events, versioned opening record, personal target proof, one-action empty outcome and terminal partial/never-held records. No standalone UI.</t>
  </si>
  <si>
    <t xml:space="preserve">BOP-CHG-001 v0.10 approved; KT-STD-001 v1.10 approved; TPR-CHG-001 v0.13 approved (v0.14 proposed); TRUST-ADR-001 v0.1 approved; LAW-V-001</t>
  </si>
  <si>
    <t xml:space="preserve">https://chatgpt.com/api/library/files/libfile_f70200e4567c8191b2aceb304a458557/download</t>
  </si>
  <si>
    <t xml:space="preserve">EVL-CHG-001</t>
  </si>
  <si>
    <t xml:space="preserve">Bid Evaluation</t>
  </si>
  <si>
    <t xml:space="preserve">0.4</t>
  </si>
  <si>
    <t xml:space="preserve">v0.3 proposed detail; approved high-level automation approach retained</t>
  </si>
  <si>
    <t xml:space="preserve">Automatic evaluation, focused committee review and signed report. Second-review corrections align commands, tasks, source issues, scope gates and dated fixtures.</t>
  </si>
  <si>
    <t xml:space="preserve">KT-STD-001 v1.12; BOP v0.10; BDS v0.8; PRC v0.9; TRUST v0.1; TPR v0.13; STD-TPL v0.10. Coordinated owner amendments drafted: PRC v0.10, TPR v0.15, BDS v0.10, KT-STD v1.13; approval/integration outstanding.</t>
  </si>
  <si>
    <t xml:space="preserve">Approved EVL v0.4 retained. Four coordinated owner successors drafted and linked in their register entries. Review amendments and implement/test the bindings; executable template rules and legal/Trust work remain open. Gate 1 unchanged. SEED-OPS v1.18 reports a built canonical stage; this supports In progress, not full implementation or acceptance completion. Verify module-wide evidence under AUD-020.</t>
  </si>
  <si>
    <t xml:space="preserve">https://chatgpt.com/api/library/files/libfile_afeac7a8387c81918c95b97accf8734e/download</t>
  </si>
  <si>
    <t xml:space="preserve">AWD-CHG-001</t>
  </si>
  <si>
    <t xml:space="preserve">Award</t>
  </si>
  <si>
    <t xml:space="preserve">v0.3; prior versions retained</t>
  </si>
  <si>
    <t xml:space="preserve">Professional opinion, AO decision, bidder notices, acceptance, waiting conditions and delivery to Contracting.</t>
  </si>
  <si>
    <t xml:space="preserve">EVL v0.4; STD-TPL v0.10; KT-STD v1.12; TPR v0.13; BDS v0.8; PRC v0.9; TRUST v0.1; effective AUTH/Budget. Proposed owner interfaces: AWD-IF-01–07.</t>
  </si>
  <si>
    <t xml:space="preserve">https://chatgpt.com/api/library/files/libfile_6c148e829bc08191aa40b7f399460732/download</t>
  </si>
  <si>
    <t xml:space="preserve">Cross-module interfaces</t>
  </si>
  <si>
    <t xml:space="preserve">Every handoff has an upstream owner, downstream consumer, exact contract and failure rule. A document cannot be considered complete if a required interface remains unresolved.</t>
  </si>
  <si>
    <t xml:space="preserve">Interface ID</t>
  </si>
  <si>
    <t xml:space="preserve">Upstream owner</t>
  </si>
  <si>
    <t xml:space="preserve">Downstream consumer</t>
  </si>
  <si>
    <t xml:space="preserve">Contract / artifact</t>
  </si>
  <si>
    <t xml:space="preserve">Test status</t>
  </si>
  <si>
    <t xml:space="preserve">Owning documents</t>
  </si>
  <si>
    <t xml:space="preserve">Failure rule</t>
  </si>
  <si>
    <t xml:space="preserve">IF-001</t>
  </si>
  <si>
    <t xml:space="preserve">Accepted objective reference and immutable strategy snapshot</t>
  </si>
  <si>
    <t xml:space="preserve">Closed in requirements</t>
  </si>
  <si>
    <t xml:space="preserve">STR-CHG-001 v1.8 / PLN-CHG-001 v1.27</t>
  </si>
  <si>
    <t xml:space="preserve">Planning must not invent or silently rewrite strategy evidence.</t>
  </si>
  <si>
    <t xml:space="preserve">IF-002</t>
  </si>
  <si>
    <t xml:space="preserve">Funding ceiling, budget line and affordability facts</t>
  </si>
  <si>
    <t xml:space="preserve">BUD-CHG-001 v1.11 / PLN-CHG-001 v1.27</t>
  </si>
  <si>
    <t xml:space="preserve">Budget facts must not be repurposed as the APP reservation denominator.</t>
  </si>
  <si>
    <t xml:space="preserve">IF-003</t>
  </si>
  <si>
    <t xml:space="preserve">Accepted requirement identity, quantity, unit, required-by date and planning disposition</t>
  </si>
  <si>
    <t xml:space="preserve">NDS-CHG-001 v1.14 / PLN-CHG-001 v1.27</t>
  </si>
  <si>
    <t xml:space="preserve">A need cannot be subsumed into a plan item whose fulfilment path is already unavailable.</t>
  </si>
  <si>
    <t xml:space="preserve">IF-004</t>
  </si>
  <si>
    <t xml:space="preserve">Activated plan item plus REQ-owned Purchase ready for requisition hand-off, preserving allocations, classification, method, schedule, lots and reservation treatment</t>
  </si>
  <si>
    <t xml:space="preserve">PLN-CHG-001 v1.27 / REQ-CHG-001 v1.12</t>
  </si>
  <si>
    <t xml:space="preserve">Requisition must preserve approved planning facts, expose lawful corrections explicitly and must not invent a parallel task or approval state.</t>
  </si>
  <si>
    <t xml:space="preserve">IF-005</t>
  </si>
  <si>
    <t xml:space="preserve">AuthorizedRequisitionHandoff</t>
  </si>
  <si>
    <t xml:space="preserve">REQ-CHG-001 v1.12 / TPR-CHG-001 v0.13</t>
  </si>
  <si>
    <t xml:space="preserve">Tender creation must reject missing, stale or unauthorised handoff data.</t>
  </si>
  <si>
    <t xml:space="preserve">IF-006</t>
  </si>
  <si>
    <t xml:space="preserve">Planning/Tenders/Bids</t>
  </si>
  <si>
    <t xml:space="preserve">Effective procurement rules, schedule profiles, responsibilities, public portal settings and release availability</t>
  </si>
  <si>
    <t xml:space="preserve">Needs approval</t>
  </si>
  <si>
    <t xml:space="preserve">CFG-CHG-002 v0.16</t>
  </si>
  <si>
    <t xml:space="preserve">Unavailable or unverified settings must block only their affected action and name the responsible setup owner.</t>
  </si>
  <si>
    <t xml:space="preserve">IF-007</t>
  </si>
  <si>
    <t xml:space="preserve">Requisitions/Tenders/Bids</t>
  </si>
  <si>
    <t xml:space="preserve">Digest-matched installed template, construction evidence, shared compiler, renderer adapter and site On/Off switch</t>
  </si>
  <si>
    <t xml:space="preserve">STD v0.13 and runtime v1.1 approved; bundle pending</t>
  </si>
  <si>
    <t xml:space="preserve">STD-TPL-001 v0.13 / STD-TPL-IMP-001 v1.1</t>
  </si>
  <si>
    <t xml:space="preserve">No module may infer missing semantics, bypass integrity/renderer checks, or bind a new Tender while the site switch is Off.</t>
  </si>
  <si>
    <t xml:space="preserve">IF-008</t>
  </si>
  <si>
    <t xml:space="preserve">Bid Submission</t>
  </si>
  <si>
    <t xml:space="preserve">PublishedBidDefinition with stable row identities, deadlines, addenda and clarification state</t>
  </si>
  <si>
    <t xml:space="preserve">TPR-CHG-001 v0.13 / BDS-CHG-001 v0.8 / STD-TPL-IMP-001 v1.1</t>
  </si>
  <si>
    <t xml:space="preserve">Bid UI must be generated only by the shared compiler from the exact effective published definition and release identity.</t>
  </si>
  <si>
    <t xml:space="preserve">IF-009</t>
  </si>
  <si>
    <t xml:space="preserve">Atomic candidate registration/contact plus candidate question</t>
  </si>
  <si>
    <t xml:space="preserve">BDS-CHG-001 v0.8 / TPR-CHG-001 v0.13</t>
  </si>
  <si>
    <t xml:space="preserve">Start bid must not create a half-registered candidate or orphan question.</t>
  </si>
  <si>
    <t xml:space="preserve">IF-012</t>
  </si>
  <si>
    <t xml:space="preserve">Planning budget revision request with affected plan item, requested outcome, reason, requester, timestamps and immutable request identity</t>
  </si>
  <si>
    <t xml:space="preserve">PLN-CHG-001 v1.27 / BUD-CHG-001 v1.11</t>
  </si>
  <si>
    <t xml:space="preserve">The request itself must not change an amount, create a reservation, constitute a budget revision or imply approval.</t>
  </si>
  <si>
    <t xml:space="preserve">IF-013</t>
  </si>
  <si>
    <t xml:space="preserve">Budget revision request outcome, decline reason or registered successor allocation evidence</t>
  </si>
  <si>
    <t xml:space="preserve">Planning must re-evaluate affordability from the returned Budget-owned fact and must not infer success from request submission.</t>
  </si>
  <si>
    <t xml:space="preserve">IF-014</t>
  </si>
  <si>
    <t xml:space="preserve">Shared workflow guidance</t>
  </si>
  <si>
    <t xml:space="preserve">All task modules</t>
  </si>
  <si>
    <t xml:space="preserve">Server-produced next-step response, explicit guard reason and complete hand-off register consumed by record pages, My Work and Home</t>
  </si>
  <si>
    <t xml:space="preserve">Approved shared standard; module adoption partial</t>
  </si>
  <si>
    <t xml:space="preserve">KT-STD-001 v1.9 / current module document</t>
  </si>
  <si>
    <t xml:space="preserve">No authorised user may reach a meaningful record state without an action, waiting owner, correctable blocker or completed outcome.</t>
  </si>
  <si>
    <t xml:space="preserve">IF-010</t>
  </si>
  <si>
    <t xml:space="preserve">Published clarification answers, candidate notices and issued addenda</t>
  </si>
  <si>
    <t xml:space="preserve">TPR-CHG-001 v0.13 / BDS-CHG-001 v0.8</t>
  </si>
  <si>
    <t xml:space="preserve">Changed requirements require an issued addendum; clarifications alone cannot mutate the bid definition.</t>
  </si>
  <si>
    <t xml:space="preserve">IF-015</t>
  </si>
  <si>
    <t xml:space="preserve">Tenders/Bid Submission</t>
  </si>
  <si>
    <t xml:space="preserve">Bound release and site availability projection</t>
  </si>
  <si>
    <t xml:space="preserve">STD-TPL-001 v0.13 / STD-TPL-IMP-001 v1.1 / TPR-CHG-001 v0.13</t>
  </si>
  <si>
    <t xml:space="preserve">New binding requires site On and valid integrity/renderer; Off preserves existing bindings, safety/legal withdrawal blocks affected unpublished publication; never automatically rebind.</t>
  </si>
  <si>
    <t xml:space="preserve">IF-011</t>
  </si>
  <si>
    <t xml:space="preserve">Sealed immutable bid handoff and receipt identity</t>
  </si>
  <si>
    <t xml:space="preserve">Future consumer boundary</t>
  </si>
  <si>
    <t xml:space="preserve">BDS-CHG-001 v0.8</t>
  </si>
  <si>
    <t xml:space="preserve">Gate 1 ends at sealed handoff; no opening or evaluation behaviour is implied.</t>
  </si>
  <si>
    <t xml:space="preserve">IF-016</t>
  </si>
  <si>
    <t xml:space="preserve">Trust, Signing and Custody</t>
  </si>
  <si>
    <t xml:space="preserve">BDS / BOP / PRC</t>
  </si>
  <si>
    <t xml:space="preserve">Exact-target signature verification and sealed bid deposit/opening custody with authoritative receipts and independent member authorization</t>
  </si>
  <si>
    <t xml:space="preserve">Deferred production contract; test proxy approved</t>
  </si>
  <si>
    <t xml:space="preserve">TRUST-ADR-001 v0.1; BDS-CHG-001 v0.8 (v0.9 proposed); BOP-CHG-001 v0.10 proposed; PRC-CHG-001 v0.9 proposed</t>
  </si>
  <si>
    <t xml:space="preserve">No production submission/opening/signature on absent or uncertain trust/custody result. A synthetic proxy cannot turn the default-false BDS gate on.</t>
  </si>
  <si>
    <t xml:space="preserve">IF-017</t>
  </si>
  <si>
    <t xml:space="preserve">Evaluation / Tenders</t>
  </si>
  <si>
    <t xml:space="preserve">Exact report/task receipt; separate decision and notice authority; serialised notice/cancellation boundary. AWD-IF-01–02.</t>
  </si>
  <si>
    <t xml:space="preserve">Proposed interface</t>
  </si>
  <si>
    <t xml:space="preserve">AWD-CHG-001 v0.4 §17.2; matching owner amendments pending</t>
  </si>
  <si>
    <t xml:space="preserve">No duplicate receipt task, stale source or false negative authority; preserve versioned corrections.</t>
  </si>
  <si>
    <t xml:space="preserve">IF-018</t>
  </si>
  <si>
    <t xml:space="preserve">BDS / Budget / AUTH / Legal / Trust</t>
  </si>
  <si>
    <t xml:space="preserve">Award / Procurement Proceedings</t>
  </si>
  <si>
    <t xml:space="preserve">Audience, authority, funding and verified notice/signature/clock rules; retained records. AWD-IF-03, 04, 06, 07.</t>
  </si>
  <si>
    <t xml:space="preserve">Unknown rules, authority, funding or giving evidence cannot authorise positive advancement.</t>
  </si>
  <si>
    <t xml:space="preserve">IF-019</t>
  </si>
  <si>
    <t xml:space="preserve">Contracting</t>
  </si>
  <si>
    <t xml:space="preserve">Immutable package, durable receipt/task, later restriction updates, and independent decision-event delivery to the Contracting-owned publication obligation. AWD-IF-05.</t>
  </si>
  <si>
    <t xml:space="preserve">No completion without consumer receipt; Contracting rechecks current restrictions. No contract created by notice or acceptance.</t>
  </si>
  <si>
    <t xml:space="preserve">IF-020</t>
  </si>
  <si>
    <t xml:space="preserve">STD Templates / Tenders</t>
  </si>
  <si>
    <t xml:space="preserve">Template walkthrough (STD Templates and Tender record)</t>
  </si>
  <si>
    <t xml:space="preserve">TemplateWalkthroughProjection v1 compiled at installation from the release fixture; walkthrough preview of an unpublished Tender Version from the shared compiler; frozen Published Bid Definition for a published Tender; registered renderer in walkthrough mode</t>
  </si>
  <si>
    <t xml:space="preserve">STD-TPL-001 proposed v0.14 / TPR-CHG-001 and BDS-CHG-001 successors not yet drafted / STD-TPL-IMP-001 v1.1</t>
  </si>
  <si>
    <t xml:space="preserve">No substitute renderer, raw view or partial workspace; a preview is never stored as a Published Bid Definition or shown to a supplier; no supplier Draft or submitted content is read; nothing is saved and no gate result is recorded.</t>
  </si>
  <si>
    <t xml:space="preserve">Controlled decisions</t>
  </si>
  <si>
    <t xml:space="preserve">Approved and proposed decisions remain explicit. A proposed decision does not replace an approved decision until approval records that effect.</t>
  </si>
  <si>
    <t xml:space="preserve">Decision ID</t>
  </si>
  <si>
    <t xml:space="preserve">Decision</t>
  </si>
  <si>
    <t xml:space="preserve">Owning document</t>
  </si>
  <si>
    <t xml:space="preserve">Implementation effect</t>
  </si>
  <si>
    <t xml:space="preserve">Design effect</t>
  </si>
  <si>
    <t xml:space="preserve">DEC-001</t>
  </si>
  <si>
    <t xml:space="preserve">Each site represents one procuring entity for MVP; organisational units are scoped within it.</t>
  </si>
  <si>
    <t xml:space="preserve">Approved</t>
  </si>
  <si>
    <t xml:space="preserve">CFG-CHG-002 / AUTH-ADR-001</t>
  </si>
  <si>
    <t xml:space="preserve">Do not add routine procuring-entity selectors.</t>
  </si>
  <si>
    <t xml:space="preserve">Show organisational scope only where it affects the task.</t>
  </si>
  <si>
    <t xml:space="preserve">DEC-002</t>
  </si>
  <si>
    <t xml:space="preserve">Departmental consultation is optional evidence, not a mandatory workflow gate.</t>
  </si>
  <si>
    <t xml:space="preserve">Acceptance remains possible without consultation when authorised.</t>
  </si>
  <si>
    <t xml:space="preserve">Keep consultation in supporting detail.</t>
  </si>
  <si>
    <t xml:space="preserve">DEC-003</t>
  </si>
  <si>
    <t xml:space="preserve">Requisitions and bids use structured requirement rows rather than attachment-first data capture.</t>
  </si>
  <si>
    <t xml:space="preserve">REQ-CHG-001 / STD-TPL-001 / BDS-CHG-001</t>
  </si>
  <si>
    <t xml:space="preserve">Preserve stable row identities and typed responses.</t>
  </si>
  <si>
    <t xml:space="preserve">Generate concise task-oriented sections from metadata.</t>
  </si>
  <si>
    <t xml:space="preserve">DEC-004</t>
  </si>
  <si>
    <t xml:space="preserve">Tender formats are curated controlled releases; administrators do not build legal templates through a generic field wizard.</t>
  </si>
  <si>
    <t xml:space="preserve">Release tooling is controlled and manifest-based.</t>
  </si>
  <si>
    <t xml:space="preserve">Admin UI shows content and site On/Off state, never a generic schema editor.</t>
  </si>
  <si>
    <t xml:space="preserve">DEC-005</t>
  </si>
  <si>
    <t xml:space="preserve">Move tender-format administration to a dedicated STD Templates menu.</t>
  </si>
  <si>
    <t xml:space="preserve">STD-TPL-001 / CFG-CHG-002</t>
  </si>
  <si>
    <t xml:space="preserve">One authoritative inspection surface.</t>
  </si>
  <si>
    <t xml:space="preserve">List, detail, previews, verification and release state are visible.</t>
  </si>
  <si>
    <t xml:space="preserve">DEC-006</t>
  </si>
  <si>
    <t xml:space="preserve">The statutory 30% reservation denominator is the eligible value of the current complete APP, not the Budget ceiling.</t>
  </si>
  <si>
    <t xml:space="preserve">LAW-REG-001 / PLN-CHG-001</t>
  </si>
  <si>
    <t xml:space="preserve">Compute from APP items and preserve denominator evidence.</t>
  </si>
  <si>
    <t xml:space="preserve">Show progress and lawful treatment without exposing internal rule machinery by default.</t>
  </si>
  <si>
    <t xml:space="preserve">DEC-007</t>
  </si>
  <si>
    <t xml:space="preserve">Budget ceiling and affordability remain separate from the statutory reservation measure.</t>
  </si>
  <si>
    <t xml:space="preserve">BUD-CHG-001 / PLN-CHG-001</t>
  </si>
  <si>
    <t xml:space="preserve">Separate services and data contracts.</t>
  </si>
  <si>
    <t xml:space="preserve">Do not ask users to enter a reservation denominator in Budget.</t>
  </si>
  <si>
    <t xml:space="preserve">DEC-008</t>
  </si>
  <si>
    <t xml:space="preserve">County resident procurement is a separate measure from the 30% reservation programme.</t>
  </si>
  <si>
    <t xml:space="preserve">Separate flags, rules and reports.</t>
  </si>
  <si>
    <t xml:space="preserve">Do not combine them into one designation field or result.</t>
  </si>
  <si>
    <t xml:space="preserve">DEC-009</t>
  </si>
  <si>
    <t xml:space="preserve">Tender Preparation and Tender Publication form one Tenders module and one coherent user journey.</t>
  </si>
  <si>
    <t xml:space="preserve">One lifecycle and ownership model.</t>
  </si>
  <si>
    <t xml:space="preserve">Preparation naturally continues into approval and publication evidence.</t>
  </si>
  <si>
    <t xml:space="preserve">DEC-010</t>
  </si>
  <si>
    <t xml:space="preserve">For MVP, HOPF may manually confirm publication evidence for any configured channel; integration is not presumed.</t>
  </si>
  <si>
    <t xml:space="preserve">TPR-CHG-001 / CFG-CHG-002</t>
  </si>
  <si>
    <t xml:space="preserve">Support manual evidence with actor/time/digest/reference.</t>
  </si>
  <si>
    <t xml:space="preserve">Show one channel list with the appropriate confirmation action.</t>
  </si>
  <si>
    <t xml:space="preserve">DEC-011</t>
  </si>
  <si>
    <t xml:space="preserve">Suppliers start a bid atomically; there is no separate Declare interest or Follow Tender workflow.</t>
  </si>
  <si>
    <t xml:space="preserve">Create candidate registration, contact and workspace together.</t>
  </si>
  <si>
    <t xml:space="preserve">Use one direct Start bid action.</t>
  </si>
  <si>
    <t xml:space="preserve">DEC-012</t>
  </si>
  <si>
    <t xml:space="preserve">General clarifications may be published before the deadline without disclosing candidate identity.</t>
  </si>
  <si>
    <t xml:space="preserve">TPR-CHG-001 / BDS-CHG-001</t>
  </si>
  <si>
    <t xml:space="preserve">Separate question identity from public answer content.</t>
  </si>
  <si>
    <t xml:space="preserve">Suppliers see published clarification updates in the workspace.</t>
  </si>
  <si>
    <t xml:space="preserve">DEC-013</t>
  </si>
  <si>
    <t xml:space="preserve">Any change to issued tender requirements requires an addendum with immutable identity and acknowledgement treatment.</t>
  </si>
  <si>
    <t xml:space="preserve">Clarification cannot mutate published rows.</t>
  </si>
  <si>
    <t xml:space="preserve">Clearly distinguish Clarification from Addendum.</t>
  </si>
  <si>
    <t xml:space="preserve">DEC-014</t>
  </si>
  <si>
    <t xml:space="preserve">Production electronic submission remains disabled by one deployment flag until operating and release gates pass.</t>
  </si>
  <si>
    <t xml:space="preserve">BDS-CHG-001 / G1-REG-001</t>
  </si>
  <si>
    <t xml:space="preserve">Central gate; drafts remain safe.</t>
  </si>
  <si>
    <t xml:space="preserve">Use the approved temporary-unavailability message.</t>
  </si>
  <si>
    <t xml:space="preserve">DEC-015</t>
  </si>
  <si>
    <t xml:space="preserve">Gate 1 ends when a sealed Bid Submission handoff is created; opening and evaluation are outside the current slice.</t>
  </si>
  <si>
    <t xml:space="preserve">G1-REG-001 / BDS-CHG-001</t>
  </si>
  <si>
    <t xml:space="preserve">No premature downstream state changes.</t>
  </si>
  <si>
    <t xml:space="preserve">Receipt and submitted state only.</t>
  </si>
  <si>
    <t xml:space="preserve">DEC-016</t>
  </si>
  <si>
    <t xml:space="preserve">Bid Opening, Evaluation and Award, Supplier Management, additional methods/products, Contract Management and integrations remain explicitly planned future work.</t>
  </si>
  <si>
    <t xml:space="preserve">KT-RCA-001 / G1-REG-001</t>
  </si>
  <si>
    <t xml:space="preserve">Preserve extension contracts without implementing hidden workflows.</t>
  </si>
  <si>
    <t xml:space="preserve">Do not expose placeholder journeys as current capability.</t>
  </si>
  <si>
    <t xml:space="preserve">DEC-017</t>
  </si>
  <si>
    <t xml:space="preserve">No meaningful record state may dead-end: the server must return exactly one actionable-now, waiting, blocked-with-remedy or completed next-step outcome for the current responsibility.</t>
  </si>
  <si>
    <t xml:space="preserve">Centralise next-step and guard evaluation and test every supported persona/state pair.</t>
  </si>
  <si>
    <t xml:space="preserve">Show one direct next-step block with owner and correction route; do not leave users to infer workflow from status.</t>
  </si>
  <si>
    <t xml:space="preserve">DEC-018</t>
  </si>
  <si>
    <t xml:space="preserve">A Planning budget revision request is a cross-module hand-off only; it is not an amount change, reservation, budget revision or approval.</t>
  </si>
  <si>
    <t xml:space="preserve">Keep Planning request identity and Budget-owned outcome separate from allocation facts.</t>
  </si>
  <si>
    <t xml:space="preserve">Explain what was requested, who acts next and what outcome returned without implying that funding changed.</t>
  </si>
  <si>
    <t xml:space="preserve">DEC-021</t>
  </si>
  <si>
    <t xml:space="preserve">STD Templates provides inspection and concern capture; an audited deployment-only command switches template use On or Off.</t>
  </si>
  <si>
    <t xml:space="preserve">STD-TPL-001 v0.10 / FU-01 OD5</t>
  </si>
  <si>
    <t xml:space="preserve">Install verified immutable assets On by default or Off on request; prohibit editable content DocTypes and Desk switching.</t>
  </si>
  <si>
    <t xml:space="preserve">Show coverage and switch state; no Desk switch.</t>
  </si>
  <si>
    <t xml:space="preserve">DEC-022</t>
  </si>
  <si>
    <t xml:space="preserve">Fixture and production Bid-definition generation use one deterministic compiler and releases bind a versioned renderer adapter.</t>
  </si>
  <si>
    <t xml:space="preserve">STD-TPL-001 v0.10 / STD-TPL-IMP-001 v1.1</t>
  </si>
  <si>
    <t xml:space="preserve">One compiler implementation; adapter-bound rendering; no arbitrary fallback.</t>
  </si>
  <si>
    <t xml:space="preserve">Routine users see supported/unavailable outcomes; technical identities remain in collapsed detail.</t>
  </si>
  <si>
    <t xml:space="preserve">DEC-023</t>
  </si>
  <si>
    <t xml:space="preserve">Turning a release Off does not automatically rebind or block an already-bound Tender; safety/legal withdrawal blocks affected unpublished publication.</t>
  </si>
  <si>
    <t xml:space="preserve">STD-TPL-001 v0.10 / TPR-CHG-001 v0.12</t>
  </si>
  <si>
    <t xml:space="preserve">Preserve exact bindings and published history; apply the specific withdrawal exception.</t>
  </si>
  <si>
    <t xml:space="preserve">Show the site switch consequence and any withdrawal reason.</t>
  </si>
  <si>
    <t xml:space="preserve">DEC-019</t>
  </si>
  <si>
    <t xml:space="preserve">Plan activation creates a REQ-owned Purchase ready for requisition item in the existing Ready to start surface.</t>
  </si>
  <si>
    <t xml:space="preserve">Use the existing requisition aggregate and lifecycle; add no parallel task record, state, role, command or approval stage.</t>
  </si>
  <si>
    <t xml:space="preserve">Expose the ready item in the current requisition workspace, not as another screen or queue.</t>
  </si>
  <si>
    <t xml:space="preserve">DEC-020</t>
  </si>
  <si>
    <t xml:space="preserve">Journey orientation must help users act without duplicating or overwhelming the primary task.</t>
  </si>
  <si>
    <t xml:space="preserve">KT-STD-001 v1.9 / Workflow Guidance Standard</t>
  </si>
  <si>
    <t xml:space="preserve">Derive restrained journey context from authoritative workflow state and hand-offs.</t>
  </si>
  <si>
    <t xml:space="preserve">Use concise stage orientation and supporting detail; never replace clear task language with internal state machinery.</t>
  </si>
  <si>
    <t xml:space="preserve">DEC-024</t>
  </si>
  <si>
    <t xml:space="preserve">Template use for new Tenders is a deployment-only per-site On/Off switch; installation needs no owner approval and sets On by default unless Off is requested.</t>
  </si>
  <si>
    <t xml:space="preserve">STD-TPL-001 v0.10 / FU-01 OD5, 2026-09-26</t>
  </si>
  <si>
    <t xml:space="preserve">New binding requires exactly one On Available release per template key; multiple On releases refuse binding. Existing bindings stay pinned.</t>
  </si>
  <si>
    <t xml:space="preserve">Read-only On/Off state in STD Templates, with actor and time.</t>
  </si>
  <si>
    <t xml:space="preserve">DEC-025</t>
  </si>
  <si>
    <t xml:space="preserve">Keep ordinary authenticated workflow decisions distinct from statutory advanced electronic signatures; defer actual signing to the shared Trust, Signing and Custody support module.</t>
  </si>
  <si>
    <t xml:space="preserve">TRUST-ADR-001 v0.1, 2026-09-27</t>
  </si>
  <si>
    <t xml:space="preserve">Exact-target, per-member test attestations allowed only with synthetic data and explicit test labels; real signing requires personal provider evidence and legal page/initial mapping.</t>
  </si>
  <si>
    <t xml:space="preserve">Show Test attestation in test profile; no generic approval as a signature.</t>
  </si>
  <si>
    <t xml:space="preserve">DEC-026</t>
  </si>
  <si>
    <t xml:space="preserve">Keep sealed-bid custody and multi-person opening release independent of chair/admin authority; defer real keys, provider and threshold to shared infrastructure.</t>
  </si>
  <si>
    <t xml:space="preserve">Synthetic tender-box and two-person test release may exercise ceremony; BDS production submission flag stays false and BOP production disabled until verified real services.</t>
  </si>
  <si>
    <t xml:space="preserve">Visible test-environment status and honest unavailable production guidance; no proxy receipt as a live Submitted bid.</t>
  </si>
  <si>
    <t xml:space="preserve">DEC-027</t>
  </si>
  <si>
    <t xml:space="preserve">The Bid Evaluation and Award fixtures run on the canonical Tender's generated reference; the specifications' "tender 033" (TND-MOH-2027-033) is an example of the generated form.</t>
  </si>
  <si>
    <t xml:space="preserve">SEED-OPS-001 v1.17 §11 D19; Project Owner, 2026-10-01: "Keep generated codes"</t>
  </si>
  <si>
    <t xml:space="preserve">No seed change. EVL-CHG-001 §11.1 and AWD-CHG-001 §13 state the example form in their next versions.</t>
  </si>
  <si>
    <t xml:space="preserve">None.</t>
  </si>
  <si>
    <t xml:space="preserve">DEC-028</t>
  </si>
  <si>
    <t xml:space="preserve">The canonical seed exercises every module stage as it is built.</t>
  </si>
  <si>
    <t xml:space="preserve">SEED-OPS-001 v1.17 §11 D20; Project Owner, 2026-10-01: "The seed should exercise all stages as they are built."</t>
  </si>
  <si>
    <t xml:space="preserve">Each module adds its canonical seed stage, validator and runbook entry when it is built, as Bid Submission, Bid Opening, Bid Evaluation and Award have. SEED-001's successor replaces v1.3 §5.2's "No opening/evaluation/award actual generated by this seed".</t>
  </si>
  <si>
    <t xml:space="preserve">DEC-029</t>
  </si>
  <si>
    <t xml:space="preserve">Follow proposed KT-STD v1.13 for Evaluation fixture actors: committee access comes from appointment; Esther uses Evaluation Technical Support for Evaluation incidents only.</t>
  </si>
  <si>
    <t xml:space="preserve">SEED-OPS-001 v1.18 §11 D22 follow-up; owner: “Follow v1.13”; “Own responsibility”, 1 October 2026</t>
  </si>
  <si>
    <t xml:space="preserve">Retain the reported seed correction and removal of obsolete fixture grants. KT-STD v1.13 was subsequently approved in full on 1 October 2026; D22 approval is closed.</t>
  </si>
  <si>
    <t xml:space="preserve">No new user-facing step; preserve scoped committee and technical access.</t>
  </si>
  <si>
    <t xml:space="preserve">DEC-030</t>
  </si>
  <si>
    <t xml:space="preserve">Open Tender submission period: a verified legal minimum of 7 days blocks; the 21-day default is a planning assumption that is never a blocker. Shortening below the default requires a stated reason visible to approvers.</t>
  </si>
  <si>
    <t xml:space="preserve">TPR-CHG-001 proposed v0.16 §21 (proposed); owner: “To build it as a 7-day verified minimum with a 21-day default”; “Shortening below the default to require a stated reason visible to approvers, but not be a blocker”, 2 October 2026. The legal basis is the Project Owner's research and is not verified against the primary text by the build.</t>
  </si>
  <si>
    <t xml:space="preserve">Schedule profile minimum 7 and default 21 held separately (seed and patch); Tenders blocks only below the minimum and requires a reason below the default; Review note shown to the Head of Procurement Function and Accounting Officer. Built uncommitted/committed per the Tenders tracker, TND16-004 to TND16-009.</t>
  </si>
  <si>
    <t xml:space="preserve">Tender details shows the hint, pre-fills the deadline from the issue date and shows a reason field when shorter; TPR-DES-03 to -07 variants. Boards not yet regenerated (TPR-CHG-001 FU-43).</t>
  </si>
  <si>
    <t xml:space="preserve">DEC-031</t>
  </si>
  <si>
    <t xml:space="preserve">Pre-fill the submission deadline from the issue date plus the usual period, never replacing an officer's entry.</t>
  </si>
  <si>
    <t xml:space="preserve">TPR-CHG-001 proposed v0.16 §21 (proposed); owner: “Also add the pre-filling capability that you suggested”, 2 October 2026.</t>
  </si>
  <si>
    <t xml:space="preserve">Tender details form suggests issue date plus the usual days at 11:00; the server decides at review. The 11:00 closing time is new content awaiting confirmation (TPR-CHG-001 FU-42).</t>
  </si>
  <si>
    <t xml:space="preserve">TPR-DES-03 helper and pre-fill rule.</t>
  </si>
  <si>
    <t xml:space="preserve">DEC-032</t>
  </si>
  <si>
    <t xml:space="preserve">An Approved Tender whose deadline falls below the legal minimum puts a Reopen item on the Head of Procurement Function's My Work and a waiting item on the Accounting Officer's.</t>
  </si>
  <si>
    <t xml:space="preserve">TPR-CHG-001 proposed v0.16 §5.11 and §21 (proposed); owner: “Build it”, 2 October 2026, answering “a My Work item for the head of procurement, cleared when the tender is reopened”.</t>
  </si>
  <si>
    <t xml:space="preserve">Derived when My Work is read; no stored record, no in-product alert (TPR-CHG-001 FU-41).</t>
  </si>
  <si>
    <t xml:space="preserve">No new screen; §5.11 hand-off row.</t>
  </si>
  <si>
    <t xml:space="preserve">DEC-033</t>
  </si>
  <si>
    <t xml:space="preserve">The Accounting Officer can return an approved package to the Head of Procurement Function with a reason before authorising; the Head of Procurement Function reopens it.</t>
  </si>
  <si>
    <t xml:space="preserve">TPR-CHG-001 proposed v0.16 §21 (proposed); owner reply “See the attached” carrying the recommendation “Add a Return to Head of Procurement action for the accounting officer, before publication is authorised”, 2 October 2026. Reading to confirm: the copied Draft is created at the Head of Procurement Function's Reopen, not at the return (TPR-CHG-001 FU-39). The owner's legal research is not verified against the primary texts by the build.</t>
  </si>
  <si>
    <t xml:space="preserve">`ReturnApprovedTender`, the AO returned approved Tender hand-off, the Return action and dialog, next steps and My Work rows. Outright refusal before publication is not built and not decided (TPR-CHG-001 FU-40).</t>
  </si>
  <si>
    <t xml:space="preserve">TPR-DES-07 gains a secondary Return action, a dialog and a returned variant. Boards not yet regenerated (TPR-CHG-001 FU-43).</t>
  </si>
  <si>
    <t xml:space="preserve">DEC-034</t>
  </si>
  <si>
    <t xml:space="preserve">Digests, hashes and rule identifiers appear only under a labelled Technical details heading or section, never in a first-view area of a Tenders screen.</t>
  </si>
  <si>
    <t xml:space="preserve">TPR-CHG-001 proposed v0.16 §21 and TPR16-AC-017; owner: “Why are digests leaking into primary user view? These type of data are expressly forbidden here and are only ever allowed under a discreet Technical Details section. This information is useless to normal users”, 2 October 2026. Resolves the conflict recorded as TPR-CHG-001 follow-up FU-36 (§10.8 item 2 asked for the digest; TPR09-AC-071 and §11.1 rule 15 forbid it).</t>
  </si>
  <si>
    <t xml:space="preserve">The package digest leaves the Accounting Officer's approval trail and the publication line; the History documents table drops its digest column and lists digests under a closed Technical details disclosure; the document dialog drops its reference. Tracker row TND16-015.</t>
  </si>
  <si>
    <t xml:space="preserve">TPR-DES-07, TPR-DES-08 and the History view lose the digest in their first view. Boards not yet regenerated (TPR-CHG-001 FU-43).</t>
  </si>
  <si>
    <t xml:space="preserve">DEC-035</t>
  </si>
  <si>
    <t xml:space="preserve">Confidential Business Questionnaire structure: Part A gives each of the nine conflict items its official wording and its own details field in a new template release (D1); item 9 keeps its official wording, is shown only when item 7 or 8 is Yes, and No is the answer needing committee assessment (D2); Part B replaces the collapsed ownership and persons-with-interest text boxes with a bounded repeating row group as a separate version (D3); published Tenders keep release 1.2 (D5). The number of rows (D4) is not decided.</t>
  </si>
  <si>
    <t xml:space="preserve">KenTender_STD-TPL-001_Change_Request_Questionnaire_Structure_2026-10-02.md; Project Owner, 2 October 2026: "Mark it as approved" and "I approve the recommendations"</t>
  </si>
  <si>
    <t xml:space="preserve">Part A needs no new vocabulary; Part B needs a new composition and renderer version. Neither can be fixed in Bid Submission. D2's legal reading is not verified against a primary source.</t>
  </si>
  <si>
    <t xml:space="preserve">Suppliers and evaluators read each conflict item in words; official tables appear as rows with named columns once Part B is made.</t>
  </si>
  <si>
    <t xml:space="preserve">DEC-036</t>
  </si>
  <si>
    <t xml:space="preserve">Template walkthrough: a read-only, full-screen walkthrough shows how an STD release drives a Tender (preparation, documents, supplier bid drawn by the registered renderer, evaluation and contract), offered from STD Templates and from a Tender before and after publication, with release-validator checks for missing item wording and collapsed official tables. Recommendations R1–R5 approved.</t>
  </si>
  <si>
    <t xml:space="preserve">KenTender_STD-TPL-001_Change_Request_Template_Walkthrough_2026-10-02.md §§8 and 13; Project Owner, 2 October 2026: "1. Both 2. Full-screen route 3. Yes" and "This is approved, together with your recommendations. Update the documents appropriately with care"; carried into STD-TPL-001 proposed v0.14</t>
  </si>
  <si>
    <t xml:space="preserve">Compile the release fixture at installation; reuse the shared compiler for an unpublished-Tender preview; run the registered renderer in a walkthrough mode; add validator checks 22 and 23 with the release carrying Part A (R5).</t>
  </si>
  <si>
    <t xml:space="preserve">New STD-DES-03 walkthrough route; Walk through supplier bid action on STD Templates and Tender review, approval, authorisation and published records; not a gate (OD5).</t>
  </si>
  <si>
    <t xml:space="preserve">Implementation and design delivery</t>
  </si>
  <si>
    <t xml:space="preserve">Use this as the shared correction and implementation queue for requirements, design and code. Update implementation and verification only from evidence; do not infer them from document approval.</t>
  </si>
  <si>
    <t xml:space="preserve">Item ID</t>
  </si>
  <si>
    <t xml:space="preserve">Area</t>
  </si>
  <si>
    <t xml:space="preserve">Required change</t>
  </si>
  <si>
    <t xml:space="preserve">Functional outcome</t>
  </si>
  <si>
    <t xml:space="preserve">Design outcome</t>
  </si>
  <si>
    <t xml:space="preserve">Release gate</t>
  </si>
  <si>
    <t xml:space="preserve">Evidence / notes</t>
  </si>
  <si>
    <t xml:space="preserve">G1-001</t>
  </si>
  <si>
    <t xml:space="preserve">Add supplier-portal operating settings and clear action effects.</t>
  </si>
  <si>
    <t xml:space="preserve">Configure availability, support contact and public-facing controls.</t>
  </si>
  <si>
    <t xml:space="preserve">Task-oriented settings with effective-state explanation.</t>
  </si>
  <si>
    <t xml:space="preserve">G1-002</t>
  </si>
  <si>
    <t xml:space="preserve">Create dedicated STD Templates administration surface.</t>
  </si>
  <si>
    <t xml:space="preserve">Inspect installed formats, release identity, support and verification.</t>
  </si>
  <si>
    <t xml:space="preserve">List and detail views; no generic schema editor.</t>
  </si>
  <si>
    <t xml:space="preserve">CFG-CHG-002 v0.16 / STD-TPL-001 v0.13</t>
  </si>
  <si>
    <t xml:space="preserve">Mixed approved/proposed</t>
  </si>
  <si>
    <t xml:space="preserve">G1-003</t>
  </si>
  <si>
    <t xml:space="preserve">Rebuild IT Equipment release with structured supplier-response schema.</t>
  </si>
  <si>
    <t xml:space="preserve">Add stable row IDs, response types, evidence and declaration rules.</t>
  </si>
  <si>
    <t xml:space="preserve">Generated task sections for the supplier workspace.</t>
  </si>
  <si>
    <t xml:space="preserve">STD-TPL-001 v0.13</t>
  </si>
  <si>
    <t xml:space="preserve">G1-004</t>
  </si>
  <si>
    <t xml:space="preserve">Add evaluation and contract-destination mappings.</t>
  </si>
  <si>
    <t xml:space="preserve">Every carried response has explicit downstream treatment; group-level evaluation allowed where defined.</t>
  </si>
  <si>
    <t xml:space="preserve">Admin sees labelled mapping summaries, not raw JSON.</t>
  </si>
  <si>
    <t xml:space="preserve">G1-005</t>
  </si>
  <si>
    <t xml:space="preserve">Verify the installed release and provide a deployment-only site On/Off switch.</t>
  </si>
  <si>
    <t xml:space="preserve">Check manifest and assets during installation; install On by default or Off by deployment request.</t>
  </si>
  <si>
    <t xml:space="preserve">Show the read-only switch state and specific integrity/compatibility errors.</t>
  </si>
  <si>
    <t xml:space="preserve">G1-006</t>
  </si>
  <si>
    <t xml:space="preserve">Consume only an authorised requisition handoff.</t>
  </si>
  <si>
    <t xml:space="preserve">Reject absent, stale or unauthorised source data.</t>
  </si>
  <si>
    <t xml:space="preserve">Name the source problem and owner without technical codes.</t>
  </si>
  <si>
    <t xml:space="preserve">G1-007</t>
  </si>
  <si>
    <t xml:space="preserve">Prepare Tender from an exact installed template that is On for new binding.</t>
  </si>
  <si>
    <t xml:space="preserve">Bind template, renderer and response schema identities only when exactly one release is On and checks pass.</t>
  </si>
  <si>
    <t xml:space="preserve">Progressive preparation journey with concise supporting detail.</t>
  </si>
  <si>
    <t xml:space="preserve">TPR-CHG-001 v0.13 / STD-TPL-001 v0.13</t>
  </si>
  <si>
    <t xml:space="preserve">G1-008</t>
  </si>
  <si>
    <t xml:space="preserve">Support publication confirmation without presuming integrations.</t>
  </si>
  <si>
    <t xml:space="preserve">HOPF may record evidence for configured channels.</t>
  </si>
  <si>
    <t xml:space="preserve">Clear confirmed/evidence-required states and direct actions.</t>
  </si>
  <si>
    <t xml:space="preserve">TPR-CHG-001 v0.13</t>
  </si>
  <si>
    <t xml:space="preserve">G1-009</t>
  </si>
  <si>
    <t xml:space="preserve">Implement candidate clarifications and published answers.</t>
  </si>
  <si>
    <t xml:space="preserve">Protect candidate identity and publish general answers lawfully.</t>
  </si>
  <si>
    <t xml:space="preserve">One understandable clarification feed.</t>
  </si>
  <si>
    <t xml:space="preserve">G1-010</t>
  </si>
  <si>
    <t xml:space="preserve">Implement addenda as the only requirement-change mechanism.</t>
  </si>
  <si>
    <t xml:space="preserve">Issue immutable addendum and update affected bid definition.</t>
  </si>
  <si>
    <t xml:space="preserve">Prominent change notice and acknowledgement state.</t>
  </si>
  <si>
    <t xml:space="preserve">G1-011</t>
  </si>
  <si>
    <t xml:space="preserve">Public Portal</t>
  </si>
  <si>
    <t xml:space="preserve">Publish tender list and tender detail pages.</t>
  </si>
  <si>
    <t xml:space="preserve">Public read access to issued tenders and current documents.</t>
  </si>
  <si>
    <t xml:space="preserve">Simple search/list/detail; reusable framework pages where suitable.</t>
  </si>
  <si>
    <t xml:space="preserve">G1-012</t>
  </si>
  <si>
    <t xml:space="preserve">Supplier Access</t>
  </si>
  <si>
    <t xml:space="preserve">Use framework registration/login and return-to-tender behaviour.</t>
  </si>
  <si>
    <t xml:space="preserve">Authenticate supplier contact and preserve intended destination.</t>
  </si>
  <si>
    <t xml:space="preserve">Direct access with minimal account friction.</t>
  </si>
  <si>
    <t xml:space="preserve">G1-013</t>
  </si>
  <si>
    <t xml:space="preserve">Scope users to their own supplier organisation.</t>
  </si>
  <si>
    <t xml:space="preserve">Use the framework permission extension point.</t>
  </si>
  <si>
    <t xml:space="preserve">Never expose cross-supplier records or selectors.</t>
  </si>
  <si>
    <t xml:space="preserve">BDS-CHG-001 v0.8 / AUTH-ADR-001 v1.10</t>
  </si>
  <si>
    <t xml:space="preserve">G1-014</t>
  </si>
  <si>
    <t xml:space="preserve">Bid Workspace</t>
  </si>
  <si>
    <t xml:space="preserve">Make Start bid atomic.</t>
  </si>
  <si>
    <t xml:space="preserve">Create candidate registration, contact and bid workspace together.</t>
  </si>
  <si>
    <t xml:space="preserve">Single Start bid action and deterministic recovery.</t>
  </si>
  <si>
    <t xml:space="preserve">G1-015</t>
  </si>
  <si>
    <t xml:space="preserve">Generate the workspace from the exact PublishedBidDefinition.</t>
  </si>
  <si>
    <t xml:space="preserve">Render only supported typed controls and immutable row identities.</t>
  </si>
  <si>
    <t xml:space="preserve">Goods, Works and Services differ through metadata, not bespoke page forks.</t>
  </si>
  <si>
    <t xml:space="preserve">BDS-CHG-001 v0.8 / STD-TPL-001 v0.13</t>
  </si>
  <si>
    <t xml:space="preserve">G1-016</t>
  </si>
  <si>
    <t xml:space="preserve">Support documents, company details, requirements, price and review tasks.</t>
  </si>
  <si>
    <t xml:space="preserve">Persist draft answers and validation state per row.</t>
  </si>
  <si>
    <t xml:space="preserve">Short, structured task sections with progress and actionable errors.</t>
  </si>
  <si>
    <t xml:space="preserve">G1-017</t>
  </si>
  <si>
    <t xml:space="preserve">Handle addendum refresh and acknowledgement safely.</t>
  </si>
  <si>
    <t xml:space="preserve">Detect definition change, preserve compatible answers and require acknowledgement.</t>
  </si>
  <si>
    <t xml:space="preserve">Explain exactly what changed and what the supplier must revisit.</t>
  </si>
  <si>
    <t xml:space="preserve">G1-018</t>
  </si>
  <si>
    <t xml:space="preserve">Validate submission availability centrally.</t>
  </si>
  <si>
    <t xml:space="preserve">One deployment flag plus deadline, release and operating checks.</t>
  </si>
  <si>
    <t xml:space="preserve">Approved temporary-unavailability message; drafts remain safe.</t>
  </si>
  <si>
    <t xml:space="preserve">BDS-CHG-001 v0.8 / CFG-CHG-002 v0.16</t>
  </si>
  <si>
    <t xml:space="preserve">G1-019</t>
  </si>
  <si>
    <t xml:space="preserve">Capture lawful signer authority and declarations.</t>
  </si>
  <si>
    <t xml:space="preserve">Use typed declarations and identity evidence; do not use a drawn-image signature as a cryptographic signature.</t>
  </si>
  <si>
    <t xml:space="preserve">Plain explanation of authority and consequence.</t>
  </si>
  <si>
    <t xml:space="preserve">G1-020</t>
  </si>
  <si>
    <t xml:space="preserve">Handle tender security/deposit evidence from template metadata.</t>
  </si>
  <si>
    <t xml:space="preserve">Validate applicable instrument, evidence and expiry rules.</t>
  </si>
  <si>
    <t xml:space="preserve">Show only the instrument actually required.</t>
  </si>
  <si>
    <t xml:space="preserve">G1-021</t>
  </si>
  <si>
    <t xml:space="preserve">Seal bid and create immutable receipt atomically.</t>
  </si>
  <si>
    <t xml:space="preserve">One transaction creates sealed handoff and receipt identity.</t>
  </si>
  <si>
    <t xml:space="preserve">Clear submitted state and downloadable receipt.</t>
  </si>
  <si>
    <t xml:space="preserve">G1-022</t>
  </si>
  <si>
    <t xml:space="preserve">Integrated Verification</t>
  </si>
  <si>
    <t xml:space="preserve">Reconcile SEED-001 to Gate 1 and reservation corrections.</t>
  </si>
  <si>
    <t xml:space="preserve">One consistent actor/date/value/identity pack.</t>
  </si>
  <si>
    <t xml:space="preserve">Artboards and tests use the same isolated fixtures.</t>
  </si>
  <si>
    <t xml:space="preserve">SEED-001 v1.3</t>
  </si>
  <si>
    <t xml:space="preserve">G1-023</t>
  </si>
  <si>
    <t xml:space="preserve">Run end-to-end public/vendor fixture.</t>
  </si>
  <si>
    <t xml:space="preserve">Prove requisition handoff through sealed submission without crossing into opening.</t>
  </si>
  <si>
    <t xml:space="preserve">Verify role-specific happy paths and failure states.</t>
  </si>
  <si>
    <t xml:space="preserve">G1-REG-001 v1.1 / STD-ST-001 v0.5</t>
  </si>
  <si>
    <t xml:space="preserve">G1-024</t>
  </si>
  <si>
    <t xml:space="preserve">Enable production submission only after operating-profile approval.</t>
  </si>
  <si>
    <t xml:space="preserve">Confirm support, incident, recovery, monitoring and authority readiness.</t>
  </si>
  <si>
    <t xml:space="preserve">No hidden or partial enablement.</t>
  </si>
  <si>
    <t xml:space="preserve">G1-REG-001 v1.1 / BDS-CHG-001 v0.8</t>
  </si>
  <si>
    <t xml:space="preserve">G1-025</t>
  </si>
  <si>
    <t xml:space="preserve">Implement the exact installed-release runtime authority.</t>
  </si>
  <si>
    <t xml:space="preserve">Immutable registry/assets, verified installation and audited deployment-only On/Off switch.</t>
  </si>
  <si>
    <t xml:space="preserve">Read-only state in STD Templates; no template editing or adoption approval.</t>
  </si>
  <si>
    <t xml:space="preserve">STD-TPL-IMP-001 v1.1</t>
  </si>
  <si>
    <t xml:space="preserve">G1-026</t>
  </si>
  <si>
    <t xml:space="preserve">Expose complete coverage, exclusions and generated release comparison.</t>
  </si>
  <si>
    <t xml:space="preserve">Paged inspection from manifest-owned projections.</t>
  </si>
  <si>
    <t xml:space="preserve">Coverage and changes section with plain summaries and drill-down, not raw JSON.</t>
  </si>
  <si>
    <t xml:space="preserve">G1-027</t>
  </si>
  <si>
    <t xml:space="preserve">Add bounded release concern capture.</t>
  </si>
  <si>
    <t xml:space="preserve">Create and resolve a concern without automatic content or lifecycle effect.</t>
  </si>
  <si>
    <t xml:space="preserve">One Report concern dialog in Verification.</t>
  </si>
  <si>
    <t xml:space="preserve">STD-TPL-001 v0.13 / AUTH-ADR-001 v1.10</t>
  </si>
  <si>
    <t xml:space="preserve">G1-028</t>
  </si>
  <si>
    <t xml:space="preserve">Template runtime</t>
  </si>
  <si>
    <t xml:space="preserve">Use one compiler and registered renderer adapters.</t>
  </si>
  <si>
    <t xml:space="preserve">Canonical parity for fixture/production; exact adapter/version compatibility.</t>
  </si>
  <si>
    <t xml:space="preserve">Technical identities remain collapsed; routine failure copy is direct.</t>
  </si>
  <si>
    <t xml:space="preserve">G1-029</t>
  </si>
  <si>
    <t xml:space="preserve">Enforce Superseded release continuation without rebinding.</t>
  </si>
  <si>
    <t xml:space="preserve">Only already-bound unpublished Tenders with passing integrity/adapters continue.</t>
  </si>
  <si>
    <t xml:space="preserve">Show successor notice and preserved exact release.</t>
  </si>
  <si>
    <t xml:space="preserve">G1-030</t>
  </si>
  <si>
    <t xml:space="preserve">Block unpublished continuation on Withdrawn release.</t>
  </si>
  <si>
    <t xml:space="preserve">Block submit/approve/publish/addendum/Bid start; preserve published history.</t>
  </si>
  <si>
    <t xml:space="preserve">Direct reason, release link and governed next step.</t>
  </si>
  <si>
    <t xml:space="preserve">RES-001</t>
  </si>
  <si>
    <t xml:space="preserve">Compute reservation target from eligible current complete APP value.</t>
  </si>
  <si>
    <t xml:space="preserve">Version denominator and included/excluded item evidence.</t>
  </si>
  <si>
    <t xml:space="preserve">Show target, planned qualifying value and gap in plain language.</t>
  </si>
  <si>
    <t xml:space="preserve">PLN-CHG-001 v1.27 / LAW-REG-001 v1.2</t>
  </si>
  <si>
    <t xml:space="preserve">RES-002</t>
  </si>
  <si>
    <t xml:space="preserve">Remove any annual reservation-denominator control or API.</t>
  </si>
  <si>
    <t xml:space="preserve">Retain ceilings and affordability only.</t>
  </si>
  <si>
    <t xml:space="preserve">No user-entered 30% base in Budget.</t>
  </si>
  <si>
    <t xml:space="preserve">BUD-CHG-001 v1.11</t>
  </si>
  <si>
    <t xml:space="preserve">RES-003</t>
  </si>
  <si>
    <t xml:space="preserve">Planning and Setup</t>
  </si>
  <si>
    <t xml:space="preserve">Separate national reservation designation from county-resident treatment.</t>
  </si>
  <si>
    <t xml:space="preserve">Independent rules, flags, outcomes and reports.</t>
  </si>
  <si>
    <t xml:space="preserve">Distinct labels and explanations.</t>
  </si>
  <si>
    <t xml:space="preserve">PLN-CHG-001 v1.27 / CFG-CHG-002 v0.16</t>
  </si>
  <si>
    <t xml:space="preserve">RES-004</t>
  </si>
  <si>
    <t xml:space="preserve">Requisition to Bid</t>
  </si>
  <si>
    <t xml:space="preserve">Carry exact reservation treatment downstream without recomputation.</t>
  </si>
  <si>
    <t xml:space="preserve">Preserve designation, basis, lots and applicable evidence.</t>
  </si>
  <si>
    <t xml:space="preserve">Show concise confirmed treatment with correction route.</t>
  </si>
  <si>
    <t xml:space="preserve">REQ-CHG-001 v1.12 / TPR-CHG-001 v0.13 / BDS-CHG-001 v0.8</t>
  </si>
  <si>
    <t xml:space="preserve">RES-005</t>
  </si>
  <si>
    <t xml:space="preserve">Fixtures</t>
  </si>
  <si>
    <t xml:space="preserve">Update fixtures and arithmetic to the corrected denominator.</t>
  </si>
  <si>
    <t xml:space="preserve">One mathematically consistent APP, requisition, tender and bid chain.</t>
  </si>
  <si>
    <t xml:space="preserve">No contradictory reservation states across artboards.</t>
  </si>
  <si>
    <t xml:space="preserve">SEED-001 v1.3 / RES-IMP-001 v1.0</t>
  </si>
  <si>
    <t xml:space="preserve">Needs reconciliation</t>
  </si>
  <si>
    <t xml:space="preserve">RES-006</t>
  </si>
  <si>
    <t xml:space="preserve">Implementation Correction</t>
  </si>
  <si>
    <t xml:space="preserve">Remove obsolete reservation fields, services, labels and tests.</t>
  </si>
  <si>
    <t xml:space="preserve">Migrate or retire old inputs safely.</t>
  </si>
  <si>
    <t xml:space="preserve">Simplify affected screens and supporting detail.</t>
  </si>
  <si>
    <t xml:space="preserve">RES-IMP-001 v1.0</t>
  </si>
  <si>
    <t xml:space="preserve">WF-001</t>
  </si>
  <si>
    <t xml:space="preserve">Shared workflow</t>
  </si>
  <si>
    <t xml:space="preserve">Implement the server-produced next-step response and explicit guard reasons.</t>
  </si>
  <si>
    <t xml:space="preserve">Return exactly one actionable, waiting, blocked-with-remedy or completed outcome for each supported persona and record state.</t>
  </si>
  <si>
    <t xml:space="preserve">Use one concise next-step block with owner, explanation and direct action where authorised.</t>
  </si>
  <si>
    <t xml:space="preserve">WF-002</t>
  </si>
  <si>
    <t xml:space="preserve">Automate the no-dead-end conformance test.</t>
  </si>
  <si>
    <t xml:space="preserve">Enumerate supported persona/state pairs and fail any state lacking a valid next-step outcome.</t>
  </si>
  <si>
    <t xml:space="preserve">Verify that copy identifies the next actor and correction route without internal jargon.</t>
  </si>
  <si>
    <t xml:space="preserve">KT-STD-001 v1.9</t>
  </si>
  <si>
    <t xml:space="preserve">WF-003</t>
  </si>
  <si>
    <t xml:space="preserve">My Work and hand-offs</t>
  </si>
  <si>
    <t xml:space="preserve">Create the complete hand-off register and consume it in My Work, waiting views and notifications.</t>
  </si>
  <si>
    <t xml:space="preserve">Cover every cross-role and cross-module hand-off with stable identity, ownership and lifecycle.</t>
  </si>
  <si>
    <t xml:space="preserve">Show work requiring action separately from items waiting on another responsibility.</t>
  </si>
  <si>
    <t xml:space="preserve">KT-STD-001 v1.9 / PLN-CHG-001 v1.27 / BUD-CHG-001 v1.11 / REQ-CHG-001 v1.12</t>
  </si>
  <si>
    <t xml:space="preserve">WF-004</t>
  </si>
  <si>
    <t xml:space="preserve">Journey orientation</t>
  </si>
  <si>
    <t xml:space="preserve">Add the restrained journey tracker and useful Home orientation.</t>
  </si>
  <si>
    <t xml:space="preserve">Derive stage and next-step context from authoritative workflow and hand-off state.</t>
  </si>
  <si>
    <t xml:space="preserve">Orient users without duplicating status, exposing internal machinery or overwhelming the primary task.</t>
  </si>
  <si>
    <t xml:space="preserve">PLN-027-001</t>
  </si>
  <si>
    <t xml:space="preserve">Implement the corrected blocker matrix and funding-confirmation route.</t>
  </si>
  <si>
    <t xml:space="preserve">Over-budget and missing-method conditions block Request plan funding confirmation; reservation shortfall blocks only Sign and submit Annual Plan.</t>
  </si>
  <si>
    <t xml:space="preserve">Name the affected action, reason, responsible role and direct correction route.</t>
  </si>
  <si>
    <t xml:space="preserve">PLN-CHG-001 v1.27</t>
  </si>
  <si>
    <t xml:space="preserve">PLN-027-002</t>
  </si>
  <si>
    <t xml:space="preserve">Planning to Budget</t>
  </si>
  <si>
    <t xml:space="preserve">Implement the Planning budget revision request aggregate and hand-off.</t>
  </si>
  <si>
    <t xml:space="preserve">Create, send and track the immutable request without changing amounts, reservations or approvals.</t>
  </si>
  <si>
    <t xml:space="preserve">Show requested outcome, reason, Budget owner and returned outcome in plain language.</t>
  </si>
  <si>
    <t xml:space="preserve">BUD-011-001</t>
  </si>
  <si>
    <t xml:space="preserve">Implement the Budget-owned receiving side of Planning budget revision requests.</t>
  </si>
  <si>
    <t xml:space="preserve">Receive, decline, withdraw, register successor allocation evidence and return the outcome to Planning.</t>
  </si>
  <si>
    <t xml:space="preserve">Keep the request distinct from the budget revision itself and clearly identify the next responsible user.</t>
  </si>
  <si>
    <t xml:space="preserve">REQ-012-001</t>
  </si>
  <si>
    <t xml:space="preserve">Create the REQ-owned Purchase ready for requisition item when a plan is activated.</t>
  </si>
  <si>
    <t xml:space="preserve">Use the existing requisition aggregate and Ready to start lifecycle with no new role, state, command or approval stage.</t>
  </si>
  <si>
    <t xml:space="preserve">Show the item in the existing workspace and start the requisition directly.</t>
  </si>
  <si>
    <t xml:space="preserve">REQ-CHG-001 v1.12 / PLN-CHG-001 v1.27</t>
  </si>
  <si>
    <t xml:space="preserve">TRUST-001</t>
  </si>
  <si>
    <t xml:space="preserve">Build synthetic signing/custody test adapters and later a separately approved production support module.</t>
  </si>
  <si>
    <t xml:space="preserve">Preserve exact-target member evidence, sealed receipts and BOP ordered reveal API; then integrate licensed provider, external keys, independent multi-person release and recovery.</t>
  </si>
  <si>
    <t xml:space="preserve">Keep ordinary approvals and statutory signatures distinct; label test attestations/receipts and hide production submission/opening actions.</t>
  </si>
  <si>
    <t xml:space="preserve">TRUST-ADR-001 v0.1 / BDS-CHG-001 v0.8 / BOP-CHG-001 v0.10 proposed / PRC-CHG-001 v0.9 proposed</t>
  </si>
  <si>
    <t xml:space="preserve">G1-031</t>
  </si>
  <si>
    <t xml:space="preserve">Tenders / Bid Submission</t>
  </si>
  <si>
    <t xml:space="preserve">Apply approved published-Tender bound-release behavior after Supersession or Withdrawal.</t>
  </si>
  <si>
    <t xml:space="preserve">Allow already-bound published Tenders on a Superseded release to issue lawful addenda and accept Bid start/submission while exact checks pass; on Withdrawn block new start/addendum/submission/replacement but preserve reads, existing receipts and lawful pre-deadline withdrawal.</t>
  </si>
  <si>
    <t xml:space="preserve">Show truthful lifecycle notices and allowed next actions to internal and supplier users.</t>
  </si>
  <si>
    <t xml:space="preserve">AWD-001</t>
  </si>
  <si>
    <t xml:space="preserve">Reconcile the reported Award development build with proposed v0.4 and complete its owner contracts and acceptance tests.</t>
  </si>
  <si>
    <t xml:space="preserve">Exact Evaluation receipt; signed HOP opinion; AO decision and notices; supplier response; legal waits/restrictions; durable Contracting receipt.</t>
  </si>
  <si>
    <t xml:space="preserve">Plain task-led record and supplier notice; no repeated evaluation or extra notice/delivery approval.</t>
  </si>
  <si>
    <t xml:space="preserve">AWD-CHG-001 v0.4</t>
  </si>
  <si>
    <t xml:space="preserve">SEED-OPS v1.18 reports Award built under plan decision OD-A “Build now, amend later”; the plan and full acceptance results were not supplied. AWD-AC-001–031 remain required tests, not executed evidence.</t>
  </si>
  <si>
    <t xml:space="preserve">G1-032</t>
  </si>
  <si>
    <t xml:space="preserve">Issue an IT Equipment template release with official conflict-of-interest wording and per-item details (questionnaire Part A, item 9 treatment) and release-validator checks 22 and 23.</t>
  </si>
  <si>
    <t xml:space="preserve">Nine conflict items carry digest-checked official wording and their own conditional details; item 9 shown only when item 7 or 8 is Yes; validator fails missing item wording and unrecorded table collapse.</t>
  </si>
  <si>
    <t xml:space="preserve">Supplier and evaluator see the conflict wording; no portal change.</t>
  </si>
  <si>
    <t xml:space="preserve">STD-TPL-001 successor for Part A (not yet drafted) / STD-TPL-001 proposed v0.14</t>
  </si>
  <si>
    <t xml:space="preserve">Draft</t>
  </si>
  <si>
    <t xml:space="preserve">G1-033</t>
  </si>
  <si>
    <t xml:space="preserve">STD Templates / Bid Workspace</t>
  </si>
  <si>
    <t xml:space="preserve">Add a bounded repeating row group for official tables (questionnaire Part B).</t>
  </si>
  <si>
    <t xml:space="preserve">Partners, directors and persons-with-interest tables captured as rows with named columns; new composition and renderer version.</t>
  </si>
  <si>
    <t xml:space="preserve">Repeating rows in the questionnaire drawer.</t>
  </si>
  <si>
    <t xml:space="preserve">STD-TPL-001 successor for Part B (not yet drafted; row count D4 undecided) / BDS-CHG-001 successor</t>
  </si>
  <si>
    <t xml:space="preserve">G1-034</t>
  </si>
  <si>
    <t xml:space="preserve">Build the template walkthrough.</t>
  </si>
  <si>
    <t xml:space="preserve">STD Templates walkthrough over the release fixture; Tender walkthrough before and after publication; server-evaluated answers never saved; field panel and All supplier fields list.</t>
  </si>
  <si>
    <t xml:space="preserve">STD-DES-03 full-screen route; Walk through supplier bid on STD Templates and TPR-DES-05, 06, 07 and 09.</t>
  </si>
  <si>
    <t xml:space="preserve">Project Owner review</t>
  </si>
  <si>
    <t xml:space="preserve">Future work</t>
  </si>
  <si>
    <t xml:space="preserve">Deferred capability remains visible here with an explicit boundary and trigger. This prevents future scope from being mistaken for a current feature or forgotten entirely.</t>
  </si>
  <si>
    <t xml:space="preserve">Future ID</t>
  </si>
  <si>
    <t xml:space="preserve">Capability</t>
  </si>
  <si>
    <t xml:space="preserve">Planned wave</t>
  </si>
  <si>
    <t xml:space="preserve">Dependency</t>
  </si>
  <si>
    <t xml:space="preserve">Current boundary</t>
  </si>
  <si>
    <t xml:space="preserve">Trigger to start</t>
  </si>
  <si>
    <t xml:space="preserve">FW-001</t>
  </si>
  <si>
    <t xml:space="preserve">Post Gate 1</t>
  </si>
  <si>
    <t xml:space="preserve">Sealed Bid Submission handoff</t>
  </si>
  <si>
    <t xml:space="preserve">Not part of BDS v0.7</t>
  </si>
  <si>
    <t xml:space="preserve">Approve a separate Bid Opening requirements change unit.</t>
  </si>
  <si>
    <t xml:space="preserve">FW-002</t>
  </si>
  <si>
    <t xml:space="preserve">Evaluation and Award</t>
  </si>
  <si>
    <t xml:space="preserve">Bid Opening; STD evaluation mappings</t>
  </si>
  <si>
    <t xml:space="preserve">No evaluation workflow in current Gate 1</t>
  </si>
  <si>
    <t xml:space="preserve">Complete Bid Opening and approve evaluation governance.</t>
  </si>
  <si>
    <t xml:space="preserve">FW-003</t>
  </si>
  <si>
    <t xml:space="preserve">Supplier Management and prequalification</t>
  </si>
  <si>
    <t xml:space="preserve">Future programme</t>
  </si>
  <si>
    <t xml:space="preserve">Supplier organisation identity</t>
  </si>
  <si>
    <t xml:space="preserve">Current supplier access is tender participation only</t>
  </si>
  <si>
    <t xml:space="preserve">Approve supplier lifecycle and data ownership.</t>
  </si>
  <si>
    <t xml:space="preserve">FW-004</t>
  </si>
  <si>
    <t xml:space="preserve">RFQ, Restricted and Direct methods</t>
  </si>
  <si>
    <t xml:space="preserve">Additional method rules and templates</t>
  </si>
  <si>
    <t xml:space="preserve">Current controlled template is Open Tender</t>
  </si>
  <si>
    <t xml:space="preserve">Curate and approve each method/product release.</t>
  </si>
  <si>
    <t xml:space="preserve">FW-005</t>
  </si>
  <si>
    <t xml:space="preserve">RFP and proposal-based procurement</t>
  </si>
  <si>
    <t xml:space="preserve">Proposal evaluation and negotiation rules</t>
  </si>
  <si>
    <t xml:space="preserve">Not covered by IT Equipment Open Tender</t>
  </si>
  <si>
    <t xml:space="preserve">Approve RFP product and evaluation model.</t>
  </si>
  <si>
    <t xml:space="preserve">FW-006</t>
  </si>
  <si>
    <t xml:space="preserve">Works tender products</t>
  </si>
  <si>
    <t xml:space="preserve">Works-specific STD release metadata</t>
  </si>
  <si>
    <t xml:space="preserve">BDS runtime is extensible but no Works release is approved</t>
  </si>
  <si>
    <t xml:space="preserve">Curate official Works STD and test distinct forms/pricing.</t>
  </si>
  <si>
    <t xml:space="preserve">FW-007</t>
  </si>
  <si>
    <t xml:space="preserve">Other Services products</t>
  </si>
  <si>
    <t xml:space="preserve">Services-specific STD release metadata</t>
  </si>
  <si>
    <t xml:space="preserve">No approved service product release</t>
  </si>
  <si>
    <t xml:space="preserve">Curate official service STD and response model.</t>
  </si>
  <si>
    <t xml:space="preserve">FW-008</t>
  </si>
  <si>
    <t xml:space="preserve">Contract Management</t>
  </si>
  <si>
    <t xml:space="preserve">Award and contract formation</t>
  </si>
  <si>
    <t xml:space="preserve">Current contract mappings prepare data only</t>
  </si>
  <si>
    <t xml:space="preserve">Approve contract lifecycle and integration contracts.</t>
  </si>
  <si>
    <t xml:space="preserve">FW-009</t>
  </si>
  <si>
    <t xml:space="preserve">IFMIS, inventory, stores and asset integrations</t>
  </si>
  <si>
    <t xml:space="preserve">External interface agreements</t>
  </si>
  <si>
    <t xml:space="preserve">No integration mechanism is presumed in MVP</t>
  </si>
  <si>
    <t xml:space="preserve">Agree systems, ownership, security and reconciliation.</t>
  </si>
  <si>
    <t xml:space="preserve">FW-010</t>
  </si>
  <si>
    <t xml:space="preserve">Automated publication adapters</t>
  </si>
  <si>
    <t xml:space="preserve">Future enhancement</t>
  </si>
  <si>
    <t xml:space="preserve">Portal/channel integration agreements</t>
  </si>
  <si>
    <t xml:space="preserve">MVP supports manual HOPF confirmation</t>
  </si>
  <si>
    <t xml:space="preserve">Approve per-channel adapter and acknowledgement contract.</t>
  </si>
  <si>
    <t xml:space="preserve">FW-011</t>
  </si>
  <si>
    <t xml:space="preserve">Default internal read access to current Strategy</t>
  </si>
  <si>
    <t xml:space="preserve">Next access-policy revision</t>
  </si>
  <si>
    <t xml:space="preserve">STR-CHG-001 v1.8; AUTH-ADR-001 effective baseline</t>
  </si>
  <si>
    <t xml:space="preserve">To do</t>
  </si>
  <si>
    <t xml:space="preserve">Review access for enabled internal users to Active Strategy data only. Current assignment-based restrictions remain in force; no Draft, submitted review, approval-task, supplier or public access is approved by this entry.</t>
  </si>
  <si>
    <t xml:space="preserve">Decide baseline read policy versus per-module Reader responsibility; revise STR and AUTH through controlled versions; verify list, detail, export, API and write boundaries.</t>
  </si>
  <si>
    <t xml:space="preserve">FW-012</t>
  </si>
  <si>
    <t xml:space="preserve">Production Trust, Signing and Sealed Custody support module</t>
  </si>
  <si>
    <t xml:space="preserve">Later support-module version</t>
  </si>
  <si>
    <t xml:space="preserve">TRUST-ADR-001 v0.1; licensed/accredited provider; legal L1/L2; approved government operating profile; production-equivalent tests</t>
  </si>
  <si>
    <t xml:space="preserve">Only synthetic, explicitly labelled test proxies now. BDS v0.8 production bid submission remains disabled and electronic Bid Opening cannot be used for real bids.</t>
  </si>
  <si>
    <t xml:space="preserve">Approve provider/signing method, per-target legal equivalence, custody/key threshold, credentials, recovery, external channel and test/release evidence.</t>
  </si>
  <si>
    <t xml:space="preserve">Control findings</t>
  </si>
  <si>
    <t xml:space="preserve">Terminal review register. Findings inform action and release decisions but do not feed business calculations elsewhere in the workbook.</t>
  </si>
  <si>
    <t xml:space="preserve">Finding ID</t>
  </si>
  <si>
    <t xml:space="preserve">CFG-CHG-002 v0.16 is the current successor but remains proposed.</t>
  </si>
  <si>
    <t xml:space="preserve">TPR-CHG-001 v0.12 approved on 26 September 2026; v0.11 was proposed and never approved.</t>
  </si>
  <si>
    <t xml:space="preserve">BDS-CHG-001 v0.8 approved on 26 September 2026; v0.7 was never approved.</t>
  </si>
  <si>
    <t xml:space="preserve">AUD-004</t>
  </si>
  <si>
    <t xml:space="preserve">STD-TPL-001 v0.10 was approved by the Project Owner on 26 September 2026.</t>
  </si>
  <si>
    <t xml:space="preserve">No further document-approval action.</t>
  </si>
  <si>
    <t xml:space="preserve">None</t>
  </si>
  <si>
    <t xml:space="preserve">STD-TPL-001 v0.10 approval block, 26 September 2026</t>
  </si>
  <si>
    <t xml:space="preserve">G1-REG-001 v1.1 implementation handoff remains proposed.</t>
  </si>
  <si>
    <t xml:space="preserve">The earlier IT Equipment candidate ZIP has not been reconciled and installed as a verified release under amended STD-TPL-001 v0.10.</t>
  </si>
  <si>
    <t xml:space="preserve">Production electronic submission operating profile is not yet approved.</t>
  </si>
  <si>
    <t xml:space="preserve">SEED-001 v1.3 predates the final reservation, Gate 1 public/vendor and approved workflow-guidance changes in PLN v1.27, BUD v1.11, REQ v1.12 and KT-STD v1.8.</t>
  </si>
  <si>
    <t xml:space="preserve">RES-IMP-001 v1.0 predates the current PLN v1.27, BUD v1.11, REQ v1.12, TPR v0.11, STD-TPL v0.10 and BDS v0.7 baseline.</t>
  </si>
  <si>
    <t xml:space="preserve">STD-STD-001 v1.1 is referenced but the exact controlled file was not resolved in the admitted set.</t>
  </si>
  <si>
    <t xml:space="preserve">STD-ST-001 v0.5 is referenced but the exact controlled file was not resolved in the admitted set.</t>
  </si>
  <si>
    <t xml:space="preserve">AUD-012</t>
  </si>
  <si>
    <t xml:space="preserve">Info</t>
  </si>
  <si>
    <t xml:space="preserve">Scope boundary</t>
  </si>
  <si>
    <t xml:space="preserve">Roadmap capabilities beyond sealed Bid Submission are deliberately retained as future work.</t>
  </si>
  <si>
    <t xml:space="preserve">Controlled</t>
  </si>
  <si>
    <t xml:space="preserve">Programme owner</t>
  </si>
  <si>
    <t xml:space="preserve">Create separate change units when each future capability is authorised.</t>
  </si>
  <si>
    <t xml:space="preserve">Nothing in Gate 1</t>
  </si>
  <si>
    <t xml:space="preserve">KT-RCA-001 v1.1; G1-REG-001 v1.1</t>
  </si>
  <si>
    <t xml:space="preserve">KT-STD-001 v1.9 is approved, but complete implementation evidence for its next-step, guard-reason, hand-off, My Work, Home and no-dead-end contracts does not yet exist across the active modules.</t>
  </si>
  <si>
    <t xml:space="preserve">G1-REG-001 v1.1 now reconciles PLN v1.27, BUD v1.11, REQ v1.12 and the STD runtime closure, but SEED-001 v1.3 still predates them.</t>
  </si>
  <si>
    <t xml:space="preserve">AUD-015</t>
  </si>
  <si>
    <t xml:space="preserve">STD-TPL-IMP-001 v1.1 was approved by the Project Owner on 26 September 2026; v1.0 was never approved.</t>
  </si>
  <si>
    <t xml:space="preserve">Implement v1.1 and reconcile named consumer documents to OD5.</t>
  </si>
  <si>
    <t xml:space="preserve">None for implementation authority; consumer reconciliation remains</t>
  </si>
  <si>
    <t xml:space="preserve">STD-TPL-IMP-001 v1.1 approval block; Project Owner instruction 26 September 2026</t>
  </si>
  <si>
    <t xml:space="preserve">AUTH-ADR-001 v1.10 is proposed; approved v1.9 remains effective and does not yet grant Procurement Officer/HOPF STD inspection.</t>
  </si>
  <si>
    <t xml:space="preserve">AUD-017</t>
  </si>
  <si>
    <t xml:space="preserve">Cross-document reconciliation</t>
  </si>
  <si>
    <t xml:space="preserve">BDS v0.8 physical-security receipt view discloses supplier identity before opening despite a blanket no-PE-bidder-identity statement; BOP v0.1 and PRC v0.2 lacked closed ceremony/PRC bindings. Controlled BOP v0.2, PRC v0.3 and BDS v0.9 are proposed corrections.</t>
  </si>
  <si>
    <t xml:space="preserve">Project Owner / requirements owner</t>
  </si>
  <si>
    <t xml:space="preserve">Review the three coordinated proposals; approve BDS receipt-owner exception and BOP/PRC lifecycle, then close actual renderer/proof and lawful operating-profile gates separately.</t>
  </si>
  <si>
    <t xml:space="preserve">Reconciled Bid Opening design and production authority</t>
  </si>
  <si>
    <t xml:space="preserve">BDS v0.8 §§5.9, 10.16; BOP v0.2 §7.1; PRC v0.3 §7.1; BDS v0.9 §12.2A</t>
  </si>
  <si>
    <t xml:space="preserve">AUD-018</t>
  </si>
  <si>
    <t xml:space="preserve">Design closure</t>
  </si>
  <si>
    <t xml:space="preserve">Earlier BOP/PRC versions conflated design fixtures with live evidence, contained contradictory actor/branch events, and left visible actions without a clear owner command. Approved BOP v0.10 and PRC v0.9 provide the end-to-end matrix, corrected branches, owner bindings and repeatable mechanical check. The cross-project standard gate is approved in KT-STD-001 v1.10.</t>
  </si>
  <si>
    <t xml:space="preserve">Requirements owner / Project Owner</t>
  </si>
  <si>
    <t xml:space="preserve">Apply approved BOP v0.10 / PRC v0.9 and KT-STD-001 v1.10, approved 29 September 2026. Use direct copy comparisons and actor/state/event review on affected branches. TPR v0.14 post-close cancellation remains a separately owned dependency.</t>
  </si>
  <si>
    <t xml:space="preserve">No BOP artboard; real opening activation and integrated proof remain separate later decisions</t>
  </si>
  <si>
    <t xml:space="preserve">Approved BOP v0.10, admitted 29 September 2026; approved PRC v0.9 and KT-STD-001 v1.10. BOP v0.9 retained as the prior approved baseline.</t>
  </si>
  <si>
    <t xml:space="preserve">AUD-019</t>
  </si>
  <si>
    <t xml:space="preserve">Award release dependencies</t>
  </si>
  <si>
    <t xml:space="preserve">AWD v0.4 is approved 1 October 2026. Current legal/notice operating rules and seven counterpart contracts are not closed by drafting this document.</t>
  </si>
  <si>
    <t xml:space="preserve">Requirements owner / legal-rule owner / integration owners</t>
  </si>
  <si>
    <t xml:space="preserve">reconcile AWD-IF-01–07; verify notice audience, giving, clocks, debrief and review rules; retain LAW-V-001; implement and test real services.</t>
  </si>
  <si>
    <t xml:space="preserve">Production Award release</t>
  </si>
  <si>
    <t xml:space="preserve">AWD-CHG-001 v0.4 §§15, 17; AWD-AC-026–027</t>
  </si>
  <si>
    <t xml:space="preserve">SEED-OPS reports built BDS/BOP/EVL/AWD stages and seed-test success, while prior module rows said Planned/Not started. Full module acceptance and the cited Award OD-A plan were not supplied.</t>
  </si>
  <si>
    <t xml:space="preserve">AUD-021</t>
  </si>
  <si>
    <t xml:space="preserve">Register lag</t>
  </si>
  <si>
    <t xml:space="preserve">The STD-TPL-001 entry recorded v0.10 although v0.12 (26 September 2026) and v0.13 (27 September 2026) had been approved.</t>
  </si>
  <si>
    <t xml:space="preserve">Entry corrected to v0.13 on 2 October 2026; v0.10 retained as prior_approved_baseline. v0.13's library file ID remains to be recorded.</t>
  </si>
  <si>
    <t xml:space="preserve">STD-TPL-001 v0.13 control table; KenTender_STD-TPL-001_Change_Request_Questionnaire_Structure_2026-10-02.md §9</t>
  </si>
  <si>
    <t xml:space="preserve">TPR-CHG-001 v0.15 and BDS-CHG-001 v0.10 cite STD-TPL-001 v0.10 as an owner contract although v0.13 is approved; STD-TPL-001 v0.13 and v0.14 cite STD-TPL-IMP-001 v1.0 and KT-STD-001 v1.8 although v1.1 and v1.13 are approved.</t>
  </si>
  <si>
    <t xml:space="preserve">STD-ST-001 v0.5's approval effect says the §13 human walkthroughs and a separately approved narrow implementation pack remain required before implementation begins. No document read on 2 October 2026 records that the walkthroughs were held or waived, while STD template, Tenders and Bid Submission work is in progress.</t>
  </si>
  <si>
    <t xml:space="preserve">STD-TPL-001 proposed v0.14 (template walkthrough) was drafted from v0.13 while successor versions for questionnaire Parts A and B are being prepared separately; two successors could claim v0.14.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</si>
</sst>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"/>
  </numFmts>
  <fonts count="13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20"/>
      <color rgb="FFFFFFFF"/>
      <name val="Aptos"/>
      <family val="0"/>
      <charset val="1"/>
    </font>
    <font>
      <sz val="10"/>
      <color rgb="FF1F2937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b val="true"/>
      <sz val="9"/>
      <color rgb="FF1F2937"/>
      <name val="Aptos"/>
      <family val="0"/>
      <charset val="1"/>
    </font>
    <font>
      <b val="true"/>
      <sz val="20"/>
      <color rgb="FF17365D"/>
      <name val="Aptos"/>
      <family val="0"/>
      <charset val="1"/>
    </font>
    <font>
      <b val="true"/>
      <sz val="9"/>
      <color rgb="FFFFFFFF"/>
      <name val="Aptos"/>
      <family val="0"/>
      <charset val="1"/>
    </font>
    <font>
      <b val="true"/>
      <sz val="10"/>
      <color rgb="FF17365D"/>
      <name val="Aptos"/>
      <family val="0"/>
      <charset val="1"/>
    </font>
    <font>
      <b val="true"/>
      <sz val="10"/>
      <color rgb="FFFFFFFF"/>
      <name val="Aptos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EAF2F8"/>
        <bgColor rgb="FFF2F2F2"/>
      </patternFill>
    </fill>
    <fill>
      <patternFill patternType="solid">
        <fgColor rgb="FF4472C4"/>
        <bgColor rgb="FF666699"/>
      </patternFill>
    </fill>
    <fill>
      <patternFill patternType="solid">
        <fgColor rgb="FFF2F2F2"/>
        <bgColor rgb="FFEAF2F8"/>
      </patternFill>
    </fill>
    <fill>
      <patternFill patternType="solid">
        <fgColor rgb="FFFFFFFF"/>
        <bgColor rgb="FFF2F2F2"/>
      </patternFill>
    </fill>
    <fill>
      <patternFill patternType="solid">
        <fgColor rgb="FFD9EAF7"/>
        <bgColor rgb="FFEAF2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6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6"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F2937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2F0D9"/>
      <rgbColor rgb="FFF2F2F2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75623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uditTable" displayName="AuditTable" ref="A5:I29" headerRowCount="1" totalsRowCount="0" totalsRowShown="0">
  <autoFilter ref="A5:I29"/>
  <tableColumns count="9">
    <tableColumn id="1" name="Finding ID"/>
    <tableColumn id="2" name="Severity"/>
    <tableColumn id="3" name="Type"/>
    <tableColumn id="4" name="Finding"/>
    <tableColumn id="5" name="Status"/>
    <tableColumn id="6" name="Owner"/>
    <tableColumn id="7" name="Required action"/>
    <tableColumn id="8" name="Blocks"/>
    <tableColumn id="9" name="Evidence"/>
  </tableColumns>
</table>
</file>

<file path=xl/tables/table2.xml><?xml version="1.0" encoding="utf-8"?>
<table xmlns="http://schemas.openxmlformats.org/spreadsheetml/2006/main" id="2" name="DecisionsTable" displayName="DecisionsTable" ref="A5:F41" headerRowCount="1" totalsRowCount="0" totalsRowShown="0">
  <autoFilter ref="A5:F41"/>
  <tableColumns count="6">
    <tableColumn id="1" name="Decision ID"/>
    <tableColumn id="2" name="Decision"/>
    <tableColumn id="3" name="Status"/>
    <tableColumn id="4" name="Owning document"/>
    <tableColumn id="5" name="Implementation effect"/>
    <tableColumn id="6" name="Design effect"/>
  </tableColumns>
</table>
</file>

<file path=xl/tables/table3.xml><?xml version="1.0" encoding="utf-8"?>
<table xmlns="http://schemas.openxmlformats.org/spreadsheetml/2006/main" id="3" name="DeliveryTable" displayName="DeliveryTable" ref="A5:K55" headerRowCount="1" totalsRowCount="0" totalsRowShown="0">
  <autoFilter ref="A5:K55"/>
  <tableColumns count="11">
    <tableColumn id="1" name="Item ID"/>
    <tableColumn id="2" name="Area"/>
    <tableColumn id="3" name="Required change"/>
    <tableColumn id="4" name="Functional outcome"/>
    <tableColumn id="5" name="Design outcome"/>
    <tableColumn id="6" name="Owning document"/>
    <tableColumn id="7" name="Requirement status"/>
    <tableColumn id="8" name="Release gate"/>
    <tableColumn id="9" name="Implementation"/>
    <tableColumn id="10" name="Verification"/>
    <tableColumn id="11" name="Evidence / notes"/>
  </tableColumns>
</table>
</file>

<file path=xl/tables/table4.xml><?xml version="1.0" encoding="utf-8"?>
<table xmlns="http://schemas.openxmlformats.org/spreadsheetml/2006/main" id="4" name="DocumentsTable" displayName="DocumentsTable" ref="A5:P35" headerRowCount="1" totalsRowCount="0" totalsRowShown="0">
  <tableColumns count="16">
    <tableColumn id="1" name="Document ID"/>
    <tableColumn id="2" name="Title"/>
    <tableColumn id="3" name="Version"/>
    <tableColumn id="4" name="Module"/>
    <tableColumn id="5" name="Category"/>
    <tableColumn id="6" name="Requirement status"/>
    <tableColumn id="7" name="Approval date"/>
    <tableColumn id="8" name="Supersedes / basis"/>
    <tableColumn id="9" name="Implementation"/>
    <tableColumn id="10" name="Verification"/>
    <tableColumn id="11" name="Release"/>
    <tableColumn id="12" name="Normative"/>
    <tableColumn id="13" name="Scope"/>
    <tableColumn id="14" name="Dependencies"/>
    <tableColumn id="15" name="Required action"/>
    <tableColumn id="16" name="Source"/>
  </tableColumns>
</table>
</file>

<file path=xl/tables/table5.xml><?xml version="1.0" encoding="utf-8"?>
<table xmlns="http://schemas.openxmlformats.org/spreadsheetml/2006/main" id="5" name="FutureWorkTable" displayName="FutureWorkTable" ref="A5:G17" headerRowCount="1" totalsRowCount="0" totalsRowShown="0">
  <autoFilter ref="A5:G17"/>
  <tableColumns count="7">
    <tableColumn id="1" name="Future ID"/>
    <tableColumn id="2" name="Capability"/>
    <tableColumn id="3" name="Planned wave"/>
    <tableColumn id="4" name="Dependency"/>
    <tableColumn id="5" name="Status"/>
    <tableColumn id="6" name="Current boundary"/>
    <tableColumn id="7" name="Trigger to start"/>
  </tableColumns>
</table>
</file>

<file path=xl/tables/table6.xml><?xml version="1.0" encoding="utf-8"?>
<table xmlns="http://schemas.openxmlformats.org/spreadsheetml/2006/main" id="6" name="InterfacesTable" displayName="InterfacesTable" ref="A5:I25" headerRowCount="1" totalsRowCount="0" totalsRowShown="0">
  <autoFilter ref="A5:I25"/>
  <tableColumns count="9">
    <tableColumn id="1" name="Interface ID"/>
    <tableColumn id="2" name="Upstream owner"/>
    <tableColumn id="3" name="Downstream consumer"/>
    <tableColumn id="4" name="Contract / artifact"/>
    <tableColumn id="5" name="Requirement status"/>
    <tableColumn id="6" name="Implementation"/>
    <tableColumn id="7" name="Test status"/>
    <tableColumn id="8" name="Owning documents"/>
    <tableColumn id="9" name="Failure rule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false"/>
  </sheetPr>
  <dimension ref="A1:Z2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5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25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22.35" hidden="false" customHeight="true" outlineLevel="0" collapsed="false">
      <c r="A5" s="5" t="s">
        <v>3</v>
      </c>
      <c r="B5" s="5"/>
      <c r="C5" s="5" t="s">
        <v>4</v>
      </c>
      <c r="D5" s="5"/>
      <c r="E5" s="5" t="s">
        <v>5</v>
      </c>
      <c r="F5" s="5"/>
      <c r="G5" s="5" t="s">
        <v>6</v>
      </c>
      <c r="H5" s="5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6" t="n">
        <f aca="false">COUNTA(Documents!A6:A35)</f>
        <v>30</v>
      </c>
      <c r="B6" s="6"/>
      <c r="C6" s="6" t="n">
        <f aca="false">COUNTIF(Documents!F6:F35,"Approved requirement")</f>
        <v>21</v>
      </c>
      <c r="D6" s="6"/>
      <c r="E6" s="6" t="n">
        <f aca="false">COUNTIF(Documents!F6:F35,"Project Owner review")</f>
        <v>0</v>
      </c>
      <c r="F6" s="6"/>
      <c r="G6" s="6" t="n">
        <f aca="false">COUNTIF(Delivery!I6:I55,"Not started")+COUNTIF(Delivery!I6:I55,"Planned")+COUNTIF(Delivery!I6:I55,"Pending")</f>
        <v>49</v>
      </c>
      <c r="H6" s="6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4" t="s">
        <v>7</v>
      </c>
      <c r="B9" s="4"/>
      <c r="C9" s="4"/>
      <c r="D9" s="4"/>
      <c r="E9" s="4"/>
      <c r="F9" s="4"/>
      <c r="G9" s="4"/>
      <c r="H9" s="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7" t="s">
        <v>8</v>
      </c>
      <c r="B10" s="7" t="s">
        <v>9</v>
      </c>
      <c r="C10" s="7" t="s">
        <v>10</v>
      </c>
      <c r="D10" s="7" t="s">
        <v>11</v>
      </c>
      <c r="E10" s="7" t="s">
        <v>12</v>
      </c>
      <c r="F10" s="7" t="s">
        <v>13</v>
      </c>
      <c r="G10" s="7" t="s">
        <v>14</v>
      </c>
      <c r="H10" s="7" t="s">
        <v>15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24" hidden="false" customHeight="true" outlineLevel="0" collapsed="false">
      <c r="A11" s="8" t="s">
        <v>16</v>
      </c>
      <c r="B11" s="8" t="s">
        <v>17</v>
      </c>
      <c r="C11" s="8" t="s">
        <v>18</v>
      </c>
      <c r="D11" s="8" t="s">
        <v>19</v>
      </c>
      <c r="E11" s="8" t="s">
        <v>20</v>
      </c>
      <c r="F11" s="8" t="s">
        <v>21</v>
      </c>
      <c r="G11" s="8" t="s">
        <v>22</v>
      </c>
      <c r="H11" s="8" t="s">
        <v>23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42" hidden="false" customHeight="true" outlineLevel="0" collapsed="false">
      <c r="A12" s="8" t="s">
        <v>24</v>
      </c>
      <c r="B12" s="8" t="s">
        <v>17</v>
      </c>
      <c r="C12" s="8" t="s">
        <v>18</v>
      </c>
      <c r="D12" s="8" t="s">
        <v>25</v>
      </c>
      <c r="E12" s="8" t="s">
        <v>20</v>
      </c>
      <c r="F12" s="8" t="s">
        <v>26</v>
      </c>
      <c r="G12" s="8" t="s">
        <v>22</v>
      </c>
      <c r="H12" s="8" t="s">
        <v>27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24" hidden="false" customHeight="true" outlineLevel="0" collapsed="false">
      <c r="A13" s="8" t="s">
        <v>28</v>
      </c>
      <c r="B13" s="8" t="s">
        <v>17</v>
      </c>
      <c r="C13" s="8" t="s">
        <v>18</v>
      </c>
      <c r="D13" s="8" t="s">
        <v>29</v>
      </c>
      <c r="E13" s="8" t="s">
        <v>20</v>
      </c>
      <c r="F13" s="8" t="s">
        <v>30</v>
      </c>
      <c r="G13" s="8" t="s">
        <v>22</v>
      </c>
      <c r="H13" s="8" t="s">
        <v>31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24" hidden="false" customHeight="true" outlineLevel="0" collapsed="false">
      <c r="A14" s="8" t="s">
        <v>32</v>
      </c>
      <c r="B14" s="8" t="s">
        <v>17</v>
      </c>
      <c r="C14" s="8" t="s">
        <v>18</v>
      </c>
      <c r="D14" s="8" t="s">
        <v>19</v>
      </c>
      <c r="E14" s="8" t="s">
        <v>20</v>
      </c>
      <c r="F14" s="8" t="s">
        <v>21</v>
      </c>
      <c r="G14" s="8" t="s">
        <v>22</v>
      </c>
      <c r="H14" s="8" t="s">
        <v>33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48.75" hidden="false" customHeight="true" outlineLevel="0" collapsed="false">
      <c r="A15" s="8" t="s">
        <v>34</v>
      </c>
      <c r="B15" s="8" t="s">
        <v>35</v>
      </c>
      <c r="C15" s="8" t="s">
        <v>36</v>
      </c>
      <c r="D15" s="8" t="s">
        <v>37</v>
      </c>
      <c r="E15" s="8" t="s">
        <v>38</v>
      </c>
      <c r="F15" s="8" t="s">
        <v>39</v>
      </c>
      <c r="G15" s="8" t="s">
        <v>40</v>
      </c>
      <c r="H15" s="8" t="s">
        <v>41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66" hidden="false" customHeight="true" outlineLevel="0" collapsed="false">
      <c r="A16" s="8" t="s">
        <v>42</v>
      </c>
      <c r="B16" s="8" t="s">
        <v>35</v>
      </c>
      <c r="C16" s="8" t="s">
        <v>43</v>
      </c>
      <c r="D16" s="8" t="s">
        <v>44</v>
      </c>
      <c r="E16" s="8" t="s">
        <v>45</v>
      </c>
      <c r="F16" s="8" t="s">
        <v>46</v>
      </c>
      <c r="G16" s="8" t="s">
        <v>40</v>
      </c>
      <c r="H16" s="8" t="s">
        <v>47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9.75" hidden="false" customHeight="true" outlineLevel="0" collapsed="false">
      <c r="A17" s="8" t="s">
        <v>48</v>
      </c>
      <c r="B17" s="8" t="s">
        <v>17</v>
      </c>
      <c r="C17" s="8" t="s">
        <v>49</v>
      </c>
      <c r="D17" s="8" t="s">
        <v>50</v>
      </c>
      <c r="E17" s="8" t="s">
        <v>51</v>
      </c>
      <c r="F17" s="8" t="s">
        <v>52</v>
      </c>
      <c r="G17" s="8" t="s">
        <v>40</v>
      </c>
      <c r="H17" s="8" t="s">
        <v>53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45" hidden="false" customHeight="true" outlineLevel="0" collapsed="false">
      <c r="A18" s="8" t="s">
        <v>54</v>
      </c>
      <c r="B18" s="8" t="s">
        <v>55</v>
      </c>
      <c r="C18" s="8" t="s">
        <v>56</v>
      </c>
      <c r="D18" s="8" t="s">
        <v>57</v>
      </c>
      <c r="E18" s="8" t="s">
        <v>51</v>
      </c>
      <c r="F18" s="8" t="s">
        <v>58</v>
      </c>
      <c r="G18" s="8" t="s">
        <v>40</v>
      </c>
      <c r="H18" s="8" t="s">
        <v>59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45" hidden="false" customHeight="true" outlineLevel="0" collapsed="false">
      <c r="A19" s="8" t="s">
        <v>60</v>
      </c>
      <c r="B19" s="8" t="s">
        <v>17</v>
      </c>
      <c r="C19" s="8" t="s">
        <v>61</v>
      </c>
      <c r="D19" s="8" t="s">
        <v>62</v>
      </c>
      <c r="E19" s="8" t="s">
        <v>63</v>
      </c>
      <c r="F19" s="8" t="s">
        <v>64</v>
      </c>
      <c r="G19" s="8" t="s">
        <v>40</v>
      </c>
      <c r="H19" s="8" t="s">
        <v>65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42" hidden="false" customHeight="true" outlineLevel="0" collapsed="false">
      <c r="A20" s="8" t="s">
        <v>66</v>
      </c>
      <c r="B20" s="8" t="s">
        <v>17</v>
      </c>
      <c r="C20" s="8" t="s">
        <v>61</v>
      </c>
      <c r="D20" s="8" t="s">
        <v>67</v>
      </c>
      <c r="E20" s="8" t="s">
        <v>63</v>
      </c>
      <c r="F20" s="8" t="s">
        <v>68</v>
      </c>
      <c r="G20" s="8" t="s">
        <v>69</v>
      </c>
      <c r="H20" s="8" t="s">
        <v>70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55.5" hidden="false" customHeight="true" outlineLevel="0" collapsed="false">
      <c r="A21" s="8" t="s">
        <v>71</v>
      </c>
      <c r="B21" s="8" t="s">
        <v>17</v>
      </c>
      <c r="C21" s="8" t="s">
        <v>72</v>
      </c>
      <c r="D21" s="8" t="s">
        <v>73</v>
      </c>
      <c r="E21" s="8" t="s">
        <v>74</v>
      </c>
      <c r="F21" s="8" t="s">
        <v>75</v>
      </c>
      <c r="G21" s="8" t="s">
        <v>40</v>
      </c>
      <c r="H21" s="8" t="s">
        <v>76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48.75" hidden="false" customHeight="true" outlineLevel="0" collapsed="false">
      <c r="A22" s="8" t="s">
        <v>77</v>
      </c>
      <c r="B22" s="8" t="s">
        <v>17</v>
      </c>
      <c r="C22" s="8" t="s">
        <v>78</v>
      </c>
      <c r="D22" s="8" t="s">
        <v>79</v>
      </c>
      <c r="E22" s="8" t="s">
        <v>51</v>
      </c>
      <c r="F22" s="8" t="s">
        <v>80</v>
      </c>
      <c r="G22" s="8" t="s">
        <v>40</v>
      </c>
      <c r="H22" s="8" t="s">
        <v>81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70.5" hidden="false" customHeight="true" outlineLevel="0" collapsed="false">
      <c r="A23" s="8" t="s">
        <v>82</v>
      </c>
      <c r="B23" s="8" t="s">
        <v>55</v>
      </c>
      <c r="C23" s="8" t="s">
        <v>18</v>
      </c>
      <c r="D23" s="8" t="s">
        <v>19</v>
      </c>
      <c r="E23" s="8" t="s">
        <v>20</v>
      </c>
      <c r="F23" s="8" t="s">
        <v>21</v>
      </c>
      <c r="G23" s="8" t="s">
        <v>22</v>
      </c>
      <c r="H23" s="8" t="s">
        <v>83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0" hidden="false" customHeight="true" outlineLevel="0" collapsed="false">
      <c r="A24" s="8" t="s">
        <v>84</v>
      </c>
      <c r="B24" s="8" t="s">
        <v>55</v>
      </c>
      <c r="C24" s="8" t="s">
        <v>85</v>
      </c>
      <c r="D24" s="8" t="s">
        <v>86</v>
      </c>
      <c r="E24" s="8" t="s">
        <v>87</v>
      </c>
      <c r="F24" s="8" t="s">
        <v>88</v>
      </c>
      <c r="G24" s="8" t="s">
        <v>40</v>
      </c>
      <c r="H24" s="8" t="s">
        <v>89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0" hidden="false" customHeight="true" outlineLevel="0" collapsed="false">
      <c r="A25" s="8" t="s">
        <v>90</v>
      </c>
      <c r="B25" s="8" t="s">
        <v>55</v>
      </c>
      <c r="C25" s="8" t="s">
        <v>56</v>
      </c>
      <c r="D25" s="8" t="s">
        <v>91</v>
      </c>
      <c r="E25" s="8" t="s">
        <v>51</v>
      </c>
      <c r="F25" s="8" t="s">
        <v>92</v>
      </c>
      <c r="G25" s="8" t="s">
        <v>40</v>
      </c>
      <c r="H25" s="8" t="s">
        <v>93</v>
      </c>
    </row>
    <row r="26" customFormat="false" ht="150" hidden="false" customHeight="true" outlineLevel="0" collapsed="false">
      <c r="A26" s="8" t="s">
        <v>94</v>
      </c>
      <c r="B26" s="8" t="s">
        <v>55</v>
      </c>
      <c r="C26" s="8" t="s">
        <v>15</v>
      </c>
      <c r="D26" s="8" t="s">
        <v>95</v>
      </c>
      <c r="E26" s="8" t="s">
        <v>20</v>
      </c>
      <c r="F26" s="8" t="s">
        <v>96</v>
      </c>
      <c r="G26" s="8" t="s">
        <v>40</v>
      </c>
      <c r="H26" s="8" t="s">
        <v>97</v>
      </c>
    </row>
    <row r="27" customFormat="false" ht="150" hidden="false" customHeight="true" outlineLevel="0" collapsed="false">
      <c r="A27" s="8" t="s">
        <v>98</v>
      </c>
      <c r="B27" s="8" t="s">
        <v>99</v>
      </c>
      <c r="C27" s="8" t="s">
        <v>100</v>
      </c>
      <c r="D27" s="8" t="s">
        <v>101</v>
      </c>
      <c r="E27" s="8" t="s">
        <v>51</v>
      </c>
      <c r="F27" s="8" t="s">
        <v>102</v>
      </c>
      <c r="G27" s="8" t="s">
        <v>40</v>
      </c>
      <c r="H27" s="8" t="s">
        <v>103</v>
      </c>
    </row>
    <row r="28" customFormat="false" ht="37.5" hidden="false" customHeight="true" outlineLevel="0" collapsed="false">
      <c r="A28" s="8"/>
      <c r="B28" s="8"/>
      <c r="C28" s="8"/>
      <c r="D28" s="8"/>
      <c r="E28" s="8"/>
      <c r="F28" s="8"/>
      <c r="G28" s="8"/>
      <c r="H28" s="8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37.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37.5" hidden="false" customHeight="true" outlineLevel="0" collapsed="false">
      <c r="A30" s="4" t="s">
        <v>104</v>
      </c>
      <c r="B30" s="4"/>
      <c r="C30" s="4"/>
      <c r="D30" s="4"/>
      <c r="E30" s="4"/>
      <c r="F30" s="4"/>
      <c r="G30" s="4"/>
      <c r="H30" s="4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37.5" hidden="false" customHeight="true" outlineLevel="0" collapsed="false">
      <c r="A31" s="9" t="s">
        <v>105</v>
      </c>
      <c r="B31" s="10" t="s">
        <v>106</v>
      </c>
      <c r="C31" s="11" t="s">
        <v>107</v>
      </c>
      <c r="D31" s="11"/>
      <c r="E31" s="11"/>
      <c r="F31" s="11"/>
      <c r="G31" s="11"/>
      <c r="H31" s="11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true" outlineLevel="0" collapsed="false">
      <c r="A32" s="9" t="s">
        <v>108</v>
      </c>
      <c r="B32" s="10" t="s">
        <v>109</v>
      </c>
      <c r="C32" s="11" t="s">
        <v>110</v>
      </c>
      <c r="D32" s="11"/>
      <c r="E32" s="11"/>
      <c r="F32" s="11"/>
      <c r="G32" s="11"/>
      <c r="H32" s="11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true" outlineLevel="0" collapsed="false">
      <c r="A33" s="9" t="s">
        <v>111</v>
      </c>
      <c r="B33" s="10" t="s">
        <v>112</v>
      </c>
      <c r="C33" s="11" t="s">
        <v>113</v>
      </c>
      <c r="D33" s="11"/>
      <c r="E33" s="11"/>
      <c r="F33" s="11"/>
      <c r="G33" s="11"/>
      <c r="H33" s="11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9" t="s">
        <v>114</v>
      </c>
      <c r="B34" s="10" t="s">
        <v>115</v>
      </c>
      <c r="C34" s="11" t="s">
        <v>116</v>
      </c>
      <c r="D34" s="11"/>
      <c r="E34" s="11"/>
      <c r="F34" s="11"/>
      <c r="G34" s="11"/>
      <c r="H34" s="11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</sheetData>
  <mergeCells count="17">
    <mergeCell ref="A1:H1"/>
    <mergeCell ref="A2:H2"/>
    <mergeCell ref="A4:H4"/>
    <mergeCell ref="A5:B5"/>
    <mergeCell ref="C5:D5"/>
    <mergeCell ref="E5:F5"/>
    <mergeCell ref="G5:H5"/>
    <mergeCell ref="A6:B7"/>
    <mergeCell ref="C6:D7"/>
    <mergeCell ref="E6:F7"/>
    <mergeCell ref="G6:H7"/>
    <mergeCell ref="A9:H9"/>
    <mergeCell ref="A30:H30"/>
    <mergeCell ref="C31:H31"/>
    <mergeCell ref="C32:H32"/>
    <mergeCell ref="C33:H33"/>
    <mergeCell ref="C34:H34"/>
  </mergeCells>
  <conditionalFormatting sqref="B11:B28">
    <cfRule type="containsText" priority="2" operator="containsText" aboveAverage="0" equalAverage="0" bottom="0" percent="0" rank="0" text="Critical" dxfId="0">
      <formula>NOT(ISERROR(SEARCH("Critical",B11)))</formula>
    </cfRule>
    <cfRule type="containsText" priority="3" operator="containsText" aboveAverage="0" equalAverage="0" bottom="0" percent="0" rank="0" text="High" dxfId="1">
      <formula>NOT(ISERROR(SEARCH("High",B11)))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23"/>
    <col collapsed="false" customWidth="true" hidden="false" outlineLevel="0" max="5" min="5" style="0" width="20"/>
    <col collapsed="false" customWidth="true" hidden="false" outlineLevel="0" max="6" min="6" style="0" width="21"/>
    <col collapsed="false" customWidth="true" hidden="false" outlineLevel="0" max="7" min="7" style="0" width="14"/>
    <col collapsed="false" customWidth="true" hidden="false" outlineLevel="0" max="8" min="8" style="0" width="25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42"/>
    <col collapsed="false" customWidth="true" hidden="false" outlineLevel="0" max="14" min="14" style="0" width="36"/>
    <col collapsed="false" customWidth="true" hidden="false" outlineLevel="0" max="16" min="15" style="0" width="42"/>
  </cols>
  <sheetData>
    <row r="1" customFormat="false" ht="37.5" hidden="false" customHeight="true" outlineLevel="0" collapsed="false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3.75" hidden="false" customHeight="true" outlineLevel="0" collapsed="false">
      <c r="A2" s="3" t="s">
        <v>118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6" hidden="false" customHeight="true" outlineLevel="0" collapsed="false">
      <c r="A5" s="12" t="s">
        <v>119</v>
      </c>
      <c r="B5" s="12" t="s">
        <v>120</v>
      </c>
      <c r="C5" s="12" t="s">
        <v>121</v>
      </c>
      <c r="D5" s="12" t="s">
        <v>122</v>
      </c>
      <c r="E5" s="12" t="s">
        <v>123</v>
      </c>
      <c r="F5" s="12" t="s">
        <v>124</v>
      </c>
      <c r="G5" s="12" t="s">
        <v>125</v>
      </c>
      <c r="H5" s="12" t="s">
        <v>126</v>
      </c>
      <c r="I5" s="12" t="s">
        <v>127</v>
      </c>
      <c r="J5" s="12" t="s">
        <v>128</v>
      </c>
      <c r="K5" s="12" t="s">
        <v>129</v>
      </c>
      <c r="L5" s="12" t="s">
        <v>130</v>
      </c>
      <c r="M5" s="12" t="s">
        <v>131</v>
      </c>
      <c r="N5" s="12" t="s">
        <v>132</v>
      </c>
      <c r="O5" s="12" t="s">
        <v>133</v>
      </c>
      <c r="P5" s="12" t="s">
        <v>134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43.5" hidden="false" customHeight="true" outlineLevel="0" collapsed="false">
      <c r="A6" s="2" t="s">
        <v>135</v>
      </c>
      <c r="B6" s="8" t="s">
        <v>136</v>
      </c>
      <c r="C6" s="2" t="s">
        <v>137</v>
      </c>
      <c r="D6" s="8" t="s">
        <v>138</v>
      </c>
      <c r="E6" s="8" t="s">
        <v>139</v>
      </c>
      <c r="F6" s="8" t="s">
        <v>140</v>
      </c>
      <c r="G6" s="13" t="n">
        <v>46278</v>
      </c>
      <c r="H6" s="8" t="s">
        <v>141</v>
      </c>
      <c r="I6" s="8" t="s">
        <v>142</v>
      </c>
      <c r="J6" s="8" t="s">
        <v>142</v>
      </c>
      <c r="K6" s="8" t="s">
        <v>143</v>
      </c>
      <c r="L6" s="2" t="s">
        <v>144</v>
      </c>
      <c r="M6" s="8" t="s">
        <v>145</v>
      </c>
      <c r="N6" s="8" t="s">
        <v>146</v>
      </c>
      <c r="O6" s="8" t="s">
        <v>147</v>
      </c>
      <c r="P6" s="8" t="s">
        <v>148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43.5" hidden="false" customHeight="true" outlineLevel="0" collapsed="false">
      <c r="A7" s="2" t="s">
        <v>149</v>
      </c>
      <c r="B7" s="8" t="s">
        <v>150</v>
      </c>
      <c r="C7" s="2" t="s">
        <v>151</v>
      </c>
      <c r="D7" s="8" t="s">
        <v>152</v>
      </c>
      <c r="E7" s="8" t="s">
        <v>139</v>
      </c>
      <c r="F7" s="8" t="s">
        <v>140</v>
      </c>
      <c r="G7" s="13" t="n">
        <v>46290</v>
      </c>
      <c r="H7" s="8" t="s">
        <v>153</v>
      </c>
      <c r="I7" s="8" t="s">
        <v>142</v>
      </c>
      <c r="J7" s="8" t="s">
        <v>142</v>
      </c>
      <c r="K7" s="8" t="s">
        <v>143</v>
      </c>
      <c r="L7" s="2" t="s">
        <v>144</v>
      </c>
      <c r="M7" s="8" t="s">
        <v>154</v>
      </c>
      <c r="N7" s="8" t="s">
        <v>155</v>
      </c>
      <c r="O7" s="8" t="s">
        <v>156</v>
      </c>
      <c r="P7" s="8" t="s">
        <v>157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43.5" hidden="false" customHeight="true" outlineLevel="0" collapsed="false">
      <c r="A8" s="2" t="s">
        <v>158</v>
      </c>
      <c r="B8" s="8" t="s">
        <v>159</v>
      </c>
      <c r="C8" s="2" t="s">
        <v>160</v>
      </c>
      <c r="D8" s="8" t="s">
        <v>161</v>
      </c>
      <c r="E8" s="8" t="s">
        <v>139</v>
      </c>
      <c r="F8" s="8" t="s">
        <v>140</v>
      </c>
      <c r="G8" s="13" t="n">
        <v>46286</v>
      </c>
      <c r="H8" s="8" t="s">
        <v>162</v>
      </c>
      <c r="I8" s="8" t="s">
        <v>142</v>
      </c>
      <c r="J8" s="8" t="s">
        <v>142</v>
      </c>
      <c r="K8" s="8" t="s">
        <v>143</v>
      </c>
      <c r="L8" s="2" t="s">
        <v>144</v>
      </c>
      <c r="M8" s="8" t="s">
        <v>163</v>
      </c>
      <c r="N8" s="8" t="s">
        <v>164</v>
      </c>
      <c r="O8" s="8" t="s">
        <v>147</v>
      </c>
      <c r="P8" s="8" t="s">
        <v>165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43.5" hidden="false" customHeight="true" outlineLevel="0" collapsed="false">
      <c r="A9" s="2" t="s">
        <v>166</v>
      </c>
      <c r="B9" s="8" t="s">
        <v>167</v>
      </c>
      <c r="C9" s="2" t="s">
        <v>168</v>
      </c>
      <c r="D9" s="8" t="s">
        <v>169</v>
      </c>
      <c r="E9" s="8" t="s">
        <v>139</v>
      </c>
      <c r="F9" s="8" t="s">
        <v>140</v>
      </c>
      <c r="G9" s="13" t="n">
        <v>46290</v>
      </c>
      <c r="H9" s="8" t="s">
        <v>170</v>
      </c>
      <c r="I9" s="8" t="s">
        <v>171</v>
      </c>
      <c r="J9" s="8" t="s">
        <v>142</v>
      </c>
      <c r="K9" s="8" t="s">
        <v>143</v>
      </c>
      <c r="L9" s="2" t="s">
        <v>144</v>
      </c>
      <c r="M9" s="8" t="s">
        <v>172</v>
      </c>
      <c r="N9" s="8" t="s">
        <v>173</v>
      </c>
      <c r="O9" s="8" t="s">
        <v>174</v>
      </c>
      <c r="P9" s="8" t="s">
        <v>175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43.5" hidden="false" customHeight="true" outlineLevel="0" collapsed="false">
      <c r="A10" s="2" t="s">
        <v>176</v>
      </c>
      <c r="B10" s="8" t="s">
        <v>177</v>
      </c>
      <c r="C10" s="2" t="s">
        <v>178</v>
      </c>
      <c r="D10" s="8" t="s">
        <v>179</v>
      </c>
      <c r="E10" s="8" t="s">
        <v>139</v>
      </c>
      <c r="F10" s="8" t="s">
        <v>140</v>
      </c>
      <c r="G10" s="13" t="n">
        <v>46290</v>
      </c>
      <c r="H10" s="8" t="s">
        <v>180</v>
      </c>
      <c r="I10" s="8" t="s">
        <v>142</v>
      </c>
      <c r="J10" s="8" t="s">
        <v>142</v>
      </c>
      <c r="K10" s="8" t="s">
        <v>143</v>
      </c>
      <c r="L10" s="2" t="s">
        <v>144</v>
      </c>
      <c r="M10" s="8" t="s">
        <v>181</v>
      </c>
      <c r="N10" s="8" t="s">
        <v>182</v>
      </c>
      <c r="O10" s="8" t="s">
        <v>183</v>
      </c>
      <c r="P10" s="8" t="s">
        <v>184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43.5" hidden="false" customHeight="true" outlineLevel="0" collapsed="false">
      <c r="A11" s="2" t="s">
        <v>185</v>
      </c>
      <c r="B11" s="8" t="s">
        <v>186</v>
      </c>
      <c r="C11" s="2" t="s">
        <v>187</v>
      </c>
      <c r="D11" s="8" t="s">
        <v>188</v>
      </c>
      <c r="E11" s="8" t="s">
        <v>139</v>
      </c>
      <c r="F11" s="8" t="s">
        <v>140</v>
      </c>
      <c r="G11" s="13" t="n">
        <v>46296</v>
      </c>
      <c r="H11" s="8" t="s">
        <v>189</v>
      </c>
      <c r="I11" s="8" t="s">
        <v>190</v>
      </c>
      <c r="J11" s="8" t="s">
        <v>142</v>
      </c>
      <c r="K11" s="8" t="s">
        <v>143</v>
      </c>
      <c r="L11" s="2" t="s">
        <v>144</v>
      </c>
      <c r="M11" s="8" t="s">
        <v>191</v>
      </c>
      <c r="N11" s="8" t="s">
        <v>192</v>
      </c>
      <c r="O11" s="8" t="s">
        <v>193</v>
      </c>
      <c r="P11" s="8" t="s">
        <v>194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43.5" hidden="false" customHeight="true" outlineLevel="0" collapsed="false">
      <c r="A12" s="2" t="s">
        <v>195</v>
      </c>
      <c r="B12" s="8" t="s">
        <v>196</v>
      </c>
      <c r="C12" s="2" t="s">
        <v>197</v>
      </c>
      <c r="D12" s="8" t="s">
        <v>198</v>
      </c>
      <c r="E12" s="8" t="s">
        <v>139</v>
      </c>
      <c r="F12" s="8" t="s">
        <v>140</v>
      </c>
      <c r="G12" s="13" t="n">
        <v>46296</v>
      </c>
      <c r="H12" s="8" t="s">
        <v>199</v>
      </c>
      <c r="I12" s="8" t="s">
        <v>190</v>
      </c>
      <c r="J12" s="8" t="s">
        <v>142</v>
      </c>
      <c r="K12" s="8" t="s">
        <v>143</v>
      </c>
      <c r="L12" s="2" t="s">
        <v>144</v>
      </c>
      <c r="M12" s="8" t="s">
        <v>200</v>
      </c>
      <c r="N12" s="8" t="s">
        <v>201</v>
      </c>
      <c r="O12" s="8" t="s">
        <v>193</v>
      </c>
      <c r="P12" s="8" t="s">
        <v>202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43.5" hidden="false" customHeight="true" outlineLevel="0" collapsed="false">
      <c r="A13" s="2" t="s">
        <v>203</v>
      </c>
      <c r="B13" s="8" t="s">
        <v>204</v>
      </c>
      <c r="C13" s="2" t="s">
        <v>205</v>
      </c>
      <c r="D13" s="8" t="s">
        <v>206</v>
      </c>
      <c r="E13" s="8" t="s">
        <v>139</v>
      </c>
      <c r="F13" s="8" t="s">
        <v>140</v>
      </c>
      <c r="G13" s="13" t="n">
        <v>46296</v>
      </c>
      <c r="H13" s="8" t="s">
        <v>207</v>
      </c>
      <c r="I13" s="8" t="s">
        <v>208</v>
      </c>
      <c r="J13" s="8" t="s">
        <v>209</v>
      </c>
      <c r="K13" s="8" t="s">
        <v>210</v>
      </c>
      <c r="L13" s="2" t="s">
        <v>144</v>
      </c>
      <c r="M13" s="8" t="s">
        <v>211</v>
      </c>
      <c r="N13" s="8" t="s">
        <v>212</v>
      </c>
      <c r="O13" s="8" t="s">
        <v>193</v>
      </c>
      <c r="P13" s="8" t="s">
        <v>213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43.5" hidden="false" customHeight="true" outlineLevel="0" collapsed="false">
      <c r="A14" s="2" t="s">
        <v>214</v>
      </c>
      <c r="B14" s="8" t="s">
        <v>215</v>
      </c>
      <c r="C14" s="2" t="s">
        <v>216</v>
      </c>
      <c r="D14" s="8" t="s">
        <v>217</v>
      </c>
      <c r="E14" s="8" t="s">
        <v>218</v>
      </c>
      <c r="F14" s="8" t="s">
        <v>140</v>
      </c>
      <c r="G14" s="13" t="n">
        <v>46292</v>
      </c>
      <c r="H14" s="8" t="s">
        <v>219</v>
      </c>
      <c r="I14" s="8" t="s">
        <v>190</v>
      </c>
      <c r="J14" s="8" t="s">
        <v>209</v>
      </c>
      <c r="K14" s="8" t="s">
        <v>220</v>
      </c>
      <c r="L14" s="2" t="s">
        <v>144</v>
      </c>
      <c r="M14" s="8" t="s">
        <v>221</v>
      </c>
      <c r="N14" s="8" t="s">
        <v>222</v>
      </c>
      <c r="O14" s="8" t="s">
        <v>223</v>
      </c>
      <c r="P14" s="8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43.5" hidden="false" customHeight="true" outlineLevel="0" collapsed="false">
      <c r="A15" s="2" t="s">
        <v>224</v>
      </c>
      <c r="B15" s="8" t="s">
        <v>225</v>
      </c>
      <c r="C15" s="2" t="s">
        <v>226</v>
      </c>
      <c r="D15" s="8" t="s">
        <v>217</v>
      </c>
      <c r="E15" s="8" t="s">
        <v>227</v>
      </c>
      <c r="F15" s="8" t="s">
        <v>140</v>
      </c>
      <c r="G15" s="13" t="n">
        <v>46291</v>
      </c>
      <c r="H15" s="8" t="s">
        <v>228</v>
      </c>
      <c r="I15" s="8" t="s">
        <v>190</v>
      </c>
      <c r="J15" s="8" t="s">
        <v>229</v>
      </c>
      <c r="K15" s="8" t="s">
        <v>143</v>
      </c>
      <c r="L15" s="2" t="s">
        <v>144</v>
      </c>
      <c r="M15" s="8" t="s">
        <v>230</v>
      </c>
      <c r="N15" s="8" t="s">
        <v>231</v>
      </c>
      <c r="O15" s="8" t="s">
        <v>232</v>
      </c>
      <c r="P15" s="8" t="s">
        <v>233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43.5" hidden="false" customHeight="true" outlineLevel="0" collapsed="false">
      <c r="A16" s="2" t="s">
        <v>234</v>
      </c>
      <c r="B16" s="8" t="s">
        <v>235</v>
      </c>
      <c r="C16" s="2" t="s">
        <v>236</v>
      </c>
      <c r="D16" s="8" t="s">
        <v>237</v>
      </c>
      <c r="E16" s="8" t="s">
        <v>238</v>
      </c>
      <c r="F16" s="8" t="s">
        <v>140</v>
      </c>
      <c r="G16" s="13" t="n">
        <v>46296</v>
      </c>
      <c r="H16" s="8" t="s">
        <v>239</v>
      </c>
      <c r="I16" s="8" t="s">
        <v>143</v>
      </c>
      <c r="J16" s="8" t="s">
        <v>240</v>
      </c>
      <c r="K16" s="8" t="s">
        <v>143</v>
      </c>
      <c r="L16" s="2" t="s">
        <v>144</v>
      </c>
      <c r="M16" s="8" t="s">
        <v>241</v>
      </c>
      <c r="N16" s="8" t="s">
        <v>242</v>
      </c>
      <c r="O16" s="8" t="s">
        <v>193</v>
      </c>
      <c r="P16" s="8" t="s">
        <v>243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43.5" hidden="false" customHeight="true" outlineLevel="0" collapsed="false">
      <c r="A17" s="2" t="s">
        <v>244</v>
      </c>
      <c r="B17" s="8" t="s">
        <v>245</v>
      </c>
      <c r="C17" s="2" t="s">
        <v>246</v>
      </c>
      <c r="D17" s="8" t="s">
        <v>247</v>
      </c>
      <c r="E17" s="8" t="s">
        <v>248</v>
      </c>
      <c r="F17" s="8" t="s">
        <v>140</v>
      </c>
      <c r="G17" s="13" t="n">
        <v>46296</v>
      </c>
      <c r="H17" s="8" t="s">
        <v>249</v>
      </c>
      <c r="I17" s="8" t="s">
        <v>142</v>
      </c>
      <c r="J17" s="8" t="s">
        <v>142</v>
      </c>
      <c r="K17" s="8" t="s">
        <v>143</v>
      </c>
      <c r="L17" s="2" t="s">
        <v>144</v>
      </c>
      <c r="M17" s="8" t="s">
        <v>250</v>
      </c>
      <c r="N17" s="8" t="s">
        <v>251</v>
      </c>
      <c r="O17" s="8" t="s">
        <v>193</v>
      </c>
      <c r="P17" s="8" t="s">
        <v>252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43.5" hidden="false" customHeight="true" outlineLevel="0" collapsed="false">
      <c r="A18" s="2" t="s">
        <v>253</v>
      </c>
      <c r="B18" s="8" t="s">
        <v>254</v>
      </c>
      <c r="C18" s="2" t="s">
        <v>255</v>
      </c>
      <c r="D18" s="8" t="s">
        <v>256</v>
      </c>
      <c r="E18" s="8" t="s">
        <v>257</v>
      </c>
      <c r="F18" s="8" t="s">
        <v>140</v>
      </c>
      <c r="G18" s="13" t="n">
        <v>46288</v>
      </c>
      <c r="H18" s="8" t="s">
        <v>258</v>
      </c>
      <c r="I18" s="8" t="s">
        <v>143</v>
      </c>
      <c r="J18" s="8" t="s">
        <v>240</v>
      </c>
      <c r="K18" s="8" t="s">
        <v>143</v>
      </c>
      <c r="L18" s="2" t="s">
        <v>144</v>
      </c>
      <c r="M18" s="8" t="s">
        <v>259</v>
      </c>
      <c r="N18" s="8" t="s">
        <v>260</v>
      </c>
      <c r="O18" s="8" t="s">
        <v>261</v>
      </c>
      <c r="P18" s="8" t="s">
        <v>262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43.5" hidden="false" customHeight="true" outlineLevel="0" collapsed="false">
      <c r="A19" s="2" t="s">
        <v>263</v>
      </c>
      <c r="B19" s="8" t="s">
        <v>264</v>
      </c>
      <c r="C19" s="2" t="s">
        <v>265</v>
      </c>
      <c r="D19" s="8" t="s">
        <v>266</v>
      </c>
      <c r="E19" s="8" t="s">
        <v>267</v>
      </c>
      <c r="F19" s="8" t="s">
        <v>140</v>
      </c>
      <c r="G19" s="13" t="n">
        <v>46277</v>
      </c>
      <c r="H19" s="8" t="s">
        <v>268</v>
      </c>
      <c r="I19" s="8" t="s">
        <v>142</v>
      </c>
      <c r="J19" s="8" t="s">
        <v>209</v>
      </c>
      <c r="K19" s="8" t="s">
        <v>143</v>
      </c>
      <c r="L19" s="2" t="s">
        <v>144</v>
      </c>
      <c r="M19" s="8" t="s">
        <v>269</v>
      </c>
      <c r="N19" s="8" t="s">
        <v>270</v>
      </c>
      <c r="O19" s="8" t="s">
        <v>271</v>
      </c>
      <c r="P19" s="8" t="s">
        <v>272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43.5" hidden="false" customHeight="true" outlineLevel="0" collapsed="false">
      <c r="A20" s="2" t="s">
        <v>273</v>
      </c>
      <c r="B20" s="8" t="s">
        <v>274</v>
      </c>
      <c r="C20" s="2" t="s">
        <v>275</v>
      </c>
      <c r="D20" s="8" t="s">
        <v>266</v>
      </c>
      <c r="E20" s="8" t="s">
        <v>276</v>
      </c>
      <c r="F20" s="8" t="s">
        <v>277</v>
      </c>
      <c r="G20" s="13" t="n">
        <v>46296</v>
      </c>
      <c r="H20" s="8" t="s">
        <v>278</v>
      </c>
      <c r="I20" s="8" t="s">
        <v>279</v>
      </c>
      <c r="J20" s="8" t="s">
        <v>240</v>
      </c>
      <c r="K20" s="8" t="s">
        <v>143</v>
      </c>
      <c r="L20" s="2" t="s">
        <v>280</v>
      </c>
      <c r="M20" s="8" t="s">
        <v>281</v>
      </c>
      <c r="N20" s="8" t="s">
        <v>282</v>
      </c>
      <c r="O20" s="8" t="s">
        <v>283</v>
      </c>
      <c r="P20" s="8" t="s">
        <v>284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43.5" hidden="false" customHeight="true" outlineLevel="0" collapsed="false">
      <c r="A21" s="2" t="s">
        <v>285</v>
      </c>
      <c r="B21" s="8" t="s">
        <v>286</v>
      </c>
      <c r="C21" s="2" t="s">
        <v>226</v>
      </c>
      <c r="D21" s="8" t="s">
        <v>287</v>
      </c>
      <c r="E21" s="8" t="s">
        <v>78</v>
      </c>
      <c r="F21" s="8" t="s">
        <v>140</v>
      </c>
      <c r="G21" s="13" t="n">
        <v>46296</v>
      </c>
      <c r="H21" s="8" t="s">
        <v>288</v>
      </c>
      <c r="I21" s="8" t="s">
        <v>190</v>
      </c>
      <c r="J21" s="8" t="s">
        <v>142</v>
      </c>
      <c r="K21" s="8" t="s">
        <v>210</v>
      </c>
      <c r="L21" s="2" t="s">
        <v>144</v>
      </c>
      <c r="M21" s="8" t="s">
        <v>289</v>
      </c>
      <c r="N21" s="8" t="s">
        <v>290</v>
      </c>
      <c r="O21" s="8" t="s">
        <v>193</v>
      </c>
      <c r="P21" s="8" t="s">
        <v>291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43.5" hidden="false" customHeight="true" outlineLevel="0" collapsed="false">
      <c r="A22" s="2" t="s">
        <v>292</v>
      </c>
      <c r="B22" s="8" t="s">
        <v>293</v>
      </c>
      <c r="C22" s="2" t="s">
        <v>255</v>
      </c>
      <c r="D22" s="8" t="s">
        <v>294</v>
      </c>
      <c r="E22" s="8" t="s">
        <v>295</v>
      </c>
      <c r="F22" s="8" t="s">
        <v>296</v>
      </c>
      <c r="G22" s="13"/>
      <c r="H22" s="8" t="s">
        <v>297</v>
      </c>
      <c r="I22" s="8" t="s">
        <v>143</v>
      </c>
      <c r="J22" s="8" t="s">
        <v>143</v>
      </c>
      <c r="K22" s="8" t="s">
        <v>143</v>
      </c>
      <c r="L22" s="2" t="s">
        <v>280</v>
      </c>
      <c r="M22" s="8" t="s">
        <v>298</v>
      </c>
      <c r="N22" s="8" t="s">
        <v>299</v>
      </c>
      <c r="O22" s="8" t="s">
        <v>300</v>
      </c>
      <c r="P22" s="8" t="s">
        <v>301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43.5" hidden="false" customHeight="true" outlineLevel="0" collapsed="false">
      <c r="A23" s="2" t="s">
        <v>302</v>
      </c>
      <c r="B23" s="8" t="s">
        <v>303</v>
      </c>
      <c r="C23" s="2" t="s">
        <v>304</v>
      </c>
      <c r="D23" s="8" t="s">
        <v>305</v>
      </c>
      <c r="E23" s="8" t="s">
        <v>78</v>
      </c>
      <c r="F23" s="8" t="s">
        <v>140</v>
      </c>
      <c r="G23" s="13" t="n">
        <v>46296</v>
      </c>
      <c r="H23" s="8"/>
      <c r="I23" s="8" t="s">
        <v>190</v>
      </c>
      <c r="J23" s="8" t="s">
        <v>142</v>
      </c>
      <c r="K23" s="8" t="s">
        <v>143</v>
      </c>
      <c r="L23" s="2" t="s">
        <v>144</v>
      </c>
      <c r="M23" s="8" t="s">
        <v>306</v>
      </c>
      <c r="N23" s="8" t="s">
        <v>307</v>
      </c>
      <c r="O23" s="8" t="s">
        <v>193</v>
      </c>
      <c r="P23" s="8" t="s">
        <v>308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43.5" hidden="false" customHeight="true" outlineLevel="0" collapsed="false">
      <c r="A24" s="2" t="s">
        <v>309</v>
      </c>
      <c r="B24" s="8" t="s">
        <v>310</v>
      </c>
      <c r="C24" s="2" t="s">
        <v>311</v>
      </c>
      <c r="D24" s="8" t="s">
        <v>312</v>
      </c>
      <c r="E24" s="8" t="s">
        <v>313</v>
      </c>
      <c r="F24" s="8" t="s">
        <v>277</v>
      </c>
      <c r="G24" s="13" t="n">
        <v>46290</v>
      </c>
      <c r="H24" s="8"/>
      <c r="I24" s="8" t="s">
        <v>190</v>
      </c>
      <c r="J24" s="8" t="s">
        <v>142</v>
      </c>
      <c r="K24" s="8" t="s">
        <v>143</v>
      </c>
      <c r="L24" s="2" t="s">
        <v>314</v>
      </c>
      <c r="M24" s="8" t="s">
        <v>315</v>
      </c>
      <c r="N24" s="8" t="s">
        <v>316</v>
      </c>
      <c r="O24" s="8" t="s">
        <v>317</v>
      </c>
      <c r="P24" s="8" t="s">
        <v>318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43.5" hidden="false" customHeight="true" outlineLevel="0" collapsed="false">
      <c r="A25" s="2" t="s">
        <v>319</v>
      </c>
      <c r="B25" s="8" t="s">
        <v>320</v>
      </c>
      <c r="C25" s="2" t="s">
        <v>321</v>
      </c>
      <c r="D25" s="8" t="s">
        <v>169</v>
      </c>
      <c r="E25" s="8" t="s">
        <v>322</v>
      </c>
      <c r="F25" s="8" t="s">
        <v>323</v>
      </c>
      <c r="G25" s="13"/>
      <c r="H25" s="8" t="s">
        <v>324</v>
      </c>
      <c r="I25" s="8" t="s">
        <v>143</v>
      </c>
      <c r="J25" s="8" t="s">
        <v>143</v>
      </c>
      <c r="K25" s="8" t="s">
        <v>143</v>
      </c>
      <c r="L25" s="2" t="s">
        <v>280</v>
      </c>
      <c r="M25" s="8" t="s">
        <v>325</v>
      </c>
      <c r="N25" s="8" t="s">
        <v>326</v>
      </c>
      <c r="O25" s="8" t="s">
        <v>327</v>
      </c>
      <c r="P25" s="8" t="s">
        <v>328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43.5" hidden="false" customHeight="true" outlineLevel="0" collapsed="false">
      <c r="A26" s="2" t="s">
        <v>329</v>
      </c>
      <c r="B26" s="8" t="s">
        <v>330</v>
      </c>
      <c r="C26" s="2" t="s">
        <v>331</v>
      </c>
      <c r="D26" s="8" t="s">
        <v>312</v>
      </c>
      <c r="E26" s="8" t="s">
        <v>332</v>
      </c>
      <c r="F26" s="8" t="s">
        <v>333</v>
      </c>
      <c r="G26" s="13"/>
      <c r="H26" s="8"/>
      <c r="I26" s="8" t="s">
        <v>143</v>
      </c>
      <c r="J26" s="8" t="s">
        <v>143</v>
      </c>
      <c r="K26" s="8" t="s">
        <v>143</v>
      </c>
      <c r="L26" s="2" t="s">
        <v>280</v>
      </c>
      <c r="M26" s="8" t="s">
        <v>334</v>
      </c>
      <c r="N26" s="8" t="s">
        <v>335</v>
      </c>
      <c r="O26" s="8" t="s">
        <v>336</v>
      </c>
      <c r="P26" s="8" t="s">
        <v>337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43.5" hidden="false" customHeight="true" outlineLevel="0" collapsed="false">
      <c r="A27" s="2" t="s">
        <v>338</v>
      </c>
      <c r="B27" s="8" t="s">
        <v>339</v>
      </c>
      <c r="C27" s="2" t="s">
        <v>108</v>
      </c>
      <c r="D27" s="8" t="s">
        <v>294</v>
      </c>
      <c r="E27" s="8" t="s">
        <v>340</v>
      </c>
      <c r="F27" s="8" t="s">
        <v>296</v>
      </c>
      <c r="G27" s="13"/>
      <c r="H27" s="8"/>
      <c r="I27" s="8" t="s">
        <v>143</v>
      </c>
      <c r="J27" s="8" t="s">
        <v>143</v>
      </c>
      <c r="K27" s="8" t="s">
        <v>143</v>
      </c>
      <c r="L27" s="2" t="s">
        <v>280</v>
      </c>
      <c r="M27" s="8" t="s">
        <v>341</v>
      </c>
      <c r="N27" s="8" t="s">
        <v>292</v>
      </c>
      <c r="O27" s="8" t="s">
        <v>342</v>
      </c>
      <c r="P27" s="8" t="s">
        <v>343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43.5" hidden="false" customHeight="true" outlineLevel="0" collapsed="false">
      <c r="A28" s="2" t="s">
        <v>344</v>
      </c>
      <c r="B28" s="8" t="s">
        <v>345</v>
      </c>
      <c r="C28" s="2" t="s">
        <v>346</v>
      </c>
      <c r="D28" s="8" t="s">
        <v>217</v>
      </c>
      <c r="E28" s="8" t="s">
        <v>347</v>
      </c>
      <c r="F28" s="8" t="s">
        <v>347</v>
      </c>
      <c r="G28" s="13"/>
      <c r="H28" s="8"/>
      <c r="I28" s="8" t="s">
        <v>279</v>
      </c>
      <c r="J28" s="8" t="s">
        <v>209</v>
      </c>
      <c r="K28" s="8" t="s">
        <v>220</v>
      </c>
      <c r="L28" s="2" t="s">
        <v>280</v>
      </c>
      <c r="M28" s="8" t="s">
        <v>348</v>
      </c>
      <c r="N28" s="8" t="s">
        <v>349</v>
      </c>
      <c r="O28" s="8" t="s">
        <v>350</v>
      </c>
      <c r="P28" s="8" t="s">
        <v>351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43.5" hidden="false" customHeight="true" outlineLevel="0" collapsed="false">
      <c r="A29" s="2" t="s">
        <v>352</v>
      </c>
      <c r="B29" s="8" t="s">
        <v>353</v>
      </c>
      <c r="C29" s="2" t="s">
        <v>226</v>
      </c>
      <c r="D29" s="8" t="s">
        <v>354</v>
      </c>
      <c r="E29" s="8" t="s">
        <v>355</v>
      </c>
      <c r="F29" s="8" t="s">
        <v>356</v>
      </c>
      <c r="G29" s="13"/>
      <c r="H29" s="8"/>
      <c r="I29" s="8" t="s">
        <v>142</v>
      </c>
      <c r="J29" s="8" t="s">
        <v>142</v>
      </c>
      <c r="K29" s="8" t="s">
        <v>210</v>
      </c>
      <c r="L29" s="2" t="s">
        <v>357</v>
      </c>
      <c r="M29" s="8" t="s">
        <v>358</v>
      </c>
      <c r="N29" s="8" t="s">
        <v>359</v>
      </c>
      <c r="O29" s="8" t="s">
        <v>360</v>
      </c>
      <c r="P29" s="8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43.5" hidden="false" customHeight="true" outlineLevel="0" collapsed="false">
      <c r="A30" s="2" t="s">
        <v>361</v>
      </c>
      <c r="B30" s="8" t="s">
        <v>362</v>
      </c>
      <c r="C30" s="2" t="s">
        <v>363</v>
      </c>
      <c r="D30" s="8" t="s">
        <v>128</v>
      </c>
      <c r="E30" s="8" t="s">
        <v>355</v>
      </c>
      <c r="F30" s="8" t="s">
        <v>277</v>
      </c>
      <c r="G30" s="13" t="n">
        <v>46276</v>
      </c>
      <c r="H30" s="8" t="s">
        <v>364</v>
      </c>
      <c r="I30" s="8" t="s">
        <v>142</v>
      </c>
      <c r="J30" s="8" t="s">
        <v>142</v>
      </c>
      <c r="K30" s="8" t="s">
        <v>210</v>
      </c>
      <c r="L30" s="2" t="s">
        <v>144</v>
      </c>
      <c r="M30" s="8" t="s">
        <v>365</v>
      </c>
      <c r="N30" s="8" t="s">
        <v>366</v>
      </c>
      <c r="O30" s="8" t="s">
        <v>367</v>
      </c>
      <c r="P30" s="8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43.5" hidden="false" customHeight="true" outlineLevel="0" collapsed="false">
      <c r="A31" s="2" t="s">
        <v>368</v>
      </c>
      <c r="B31" s="8" t="s">
        <v>369</v>
      </c>
      <c r="C31" s="2" t="s">
        <v>370</v>
      </c>
      <c r="D31" s="8" t="s">
        <v>371</v>
      </c>
      <c r="E31" s="8" t="s">
        <v>372</v>
      </c>
      <c r="F31" s="8" t="s">
        <v>140</v>
      </c>
      <c r="G31" s="13" t="n">
        <v>46292</v>
      </c>
      <c r="H31" s="8"/>
      <c r="I31" s="8" t="s">
        <v>229</v>
      </c>
      <c r="J31" s="8" t="s">
        <v>229</v>
      </c>
      <c r="K31" s="8" t="s">
        <v>210</v>
      </c>
      <c r="L31" s="2" t="s">
        <v>144</v>
      </c>
      <c r="M31" s="8" t="s">
        <v>373</v>
      </c>
      <c r="N31" s="8" t="s">
        <v>374</v>
      </c>
      <c r="O31" s="8" t="s">
        <v>375</v>
      </c>
      <c r="P31" s="8" t="s">
        <v>376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43.5" hidden="false" customHeight="true" outlineLevel="0" collapsed="false">
      <c r="A32" s="2" t="s">
        <v>377</v>
      </c>
      <c r="B32" s="8" t="s">
        <v>378</v>
      </c>
      <c r="C32" s="2" t="s">
        <v>205</v>
      </c>
      <c r="D32" s="8" t="s">
        <v>379</v>
      </c>
      <c r="E32" s="8" t="s">
        <v>139</v>
      </c>
      <c r="F32" s="8" t="s">
        <v>140</v>
      </c>
      <c r="G32" s="13" t="n">
        <v>46294</v>
      </c>
      <c r="H32" s="8" t="s">
        <v>380</v>
      </c>
      <c r="I32" s="8" t="s">
        <v>208</v>
      </c>
      <c r="J32" s="8" t="s">
        <v>209</v>
      </c>
      <c r="K32" s="8" t="s">
        <v>381</v>
      </c>
      <c r="L32" s="2" t="s">
        <v>144</v>
      </c>
      <c r="M32" s="8" t="s">
        <v>382</v>
      </c>
      <c r="N32" s="8" t="s">
        <v>383</v>
      </c>
      <c r="O32" s="8" t="s">
        <v>384</v>
      </c>
      <c r="P32" s="8" t="s">
        <v>385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43.5" hidden="false" customHeight="true" outlineLevel="0" collapsed="false">
      <c r="A33" s="2" t="s">
        <v>386</v>
      </c>
      <c r="B33" s="8" t="s">
        <v>387</v>
      </c>
      <c r="C33" s="2" t="s">
        <v>205</v>
      </c>
      <c r="D33" s="8" t="s">
        <v>388</v>
      </c>
      <c r="E33" s="8" t="s">
        <v>139</v>
      </c>
      <c r="F33" s="8" t="s">
        <v>140</v>
      </c>
      <c r="G33" s="13" t="n">
        <v>46296</v>
      </c>
      <c r="H33" s="8" t="s">
        <v>389</v>
      </c>
      <c r="I33" s="8" t="s">
        <v>229</v>
      </c>
      <c r="J33" s="8" t="s">
        <v>229</v>
      </c>
      <c r="K33" s="8" t="s">
        <v>381</v>
      </c>
      <c r="L33" s="2" t="s">
        <v>144</v>
      </c>
      <c r="M33" s="8" t="s">
        <v>390</v>
      </c>
      <c r="N33" s="8" t="s">
        <v>391</v>
      </c>
      <c r="O33" s="8" t="s">
        <v>193</v>
      </c>
      <c r="P33" s="8" t="s">
        <v>392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43.5" hidden="false" customHeight="true" outlineLevel="0" collapsed="false">
      <c r="A34" s="2" t="s">
        <v>393</v>
      </c>
      <c r="B34" s="8" t="s">
        <v>394</v>
      </c>
      <c r="C34" s="2" t="s">
        <v>395</v>
      </c>
      <c r="D34" s="8" t="s">
        <v>394</v>
      </c>
      <c r="E34" s="8" t="s">
        <v>139</v>
      </c>
      <c r="F34" s="8" t="s">
        <v>140</v>
      </c>
      <c r="G34" s="13" t="n">
        <v>46295</v>
      </c>
      <c r="H34" s="8" t="s">
        <v>396</v>
      </c>
      <c r="I34" s="8" t="s">
        <v>208</v>
      </c>
      <c r="J34" s="8" t="s">
        <v>209</v>
      </c>
      <c r="K34" s="8" t="s">
        <v>381</v>
      </c>
      <c r="L34" s="2" t="s">
        <v>144</v>
      </c>
      <c r="M34" s="8" t="s">
        <v>397</v>
      </c>
      <c r="N34" s="8" t="s">
        <v>398</v>
      </c>
      <c r="O34" s="8" t="s">
        <v>399</v>
      </c>
      <c r="P34" s="8" t="s">
        <v>400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43.5" hidden="false" customHeight="true" outlineLevel="0" collapsed="false">
      <c r="A35" s="2" t="s">
        <v>401</v>
      </c>
      <c r="B35" s="8" t="s">
        <v>402</v>
      </c>
      <c r="C35" s="2" t="s">
        <v>395</v>
      </c>
      <c r="D35" s="8" t="s">
        <v>402</v>
      </c>
      <c r="E35" s="8" t="s">
        <v>139</v>
      </c>
      <c r="F35" s="8" t="s">
        <v>140</v>
      </c>
      <c r="G35" s="13" t="n">
        <v>46296</v>
      </c>
      <c r="H35" s="8" t="s">
        <v>403</v>
      </c>
      <c r="I35" s="8" t="s">
        <v>208</v>
      </c>
      <c r="J35" s="8" t="s">
        <v>209</v>
      </c>
      <c r="K35" s="8" t="s">
        <v>381</v>
      </c>
      <c r="L35" s="2" t="s">
        <v>144</v>
      </c>
      <c r="M35" s="8" t="s">
        <v>404</v>
      </c>
      <c r="N35" s="8" t="s">
        <v>405</v>
      </c>
      <c r="O35" s="8" t="s">
        <v>193</v>
      </c>
      <c r="P35" s="8" t="s">
        <v>406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P1"/>
    <mergeCell ref="A2:P2"/>
  </mergeCells>
  <conditionalFormatting sqref="F6:F35">
    <cfRule type="containsText" priority="2" operator="containsText" aboveAverage="0" equalAverage="0" bottom="0" percent="0" rank="0" text="Approved" dxfId="13">
      <formula>NOT(ISERROR(SEARCH("Approved",F6)))</formula>
    </cfRule>
    <cfRule type="containsText" priority="3" operator="containsText" aboveAverage="0" equalAverage="0" bottom="0" percent="0" rank="0" text="Passed" dxfId="13">
      <formula>NOT(ISERROR(SEARCH("Passed",F6)))</formula>
    </cfRule>
    <cfRule type="containsText" priority="4" operator="containsText" aboveAverage="0" equalAverage="0" bottom="0" percent="0" rank="0" text="Released" dxfId="13">
      <formula>NOT(ISERROR(SEARCH("Released",F6)))</formula>
    </cfRule>
    <cfRule type="containsText" priority="5" operator="containsText" aboveAverage="0" equalAverage="0" bottom="0" percent="0" rank="0" text="Project Owner review" dxfId="1">
      <formula>NOT(ISERROR(SEARCH("Project Owner review",F6)))</formula>
    </cfRule>
    <cfRule type="containsText" priority="6" operator="containsText" aboveAverage="0" equalAverage="0" bottom="0" percent="0" rank="0" text="Pending" dxfId="14">
      <formula>NOT(ISERROR(SEARCH("Pending",F6)))</formula>
    </cfRule>
    <cfRule type="containsText" priority="7" operator="containsText" aboveAverage="0" equalAverage="0" bottom="0" percent="0" rank="0" text="Blocked" dxfId="0">
      <formula>NOT(ISERROR(SEARCH("Blocked",F6)))</formula>
    </cfRule>
    <cfRule type="containsText" priority="8" operator="containsText" aboveAverage="0" equalAverage="0" bottom="0" percent="0" rank="0" text="unresolved" dxfId="0">
      <formula>NOT(ISERROR(SEARCH("unresolved",F6)))</formula>
    </cfRule>
    <cfRule type="containsText" priority="9" operator="containsText" aboveAverage="0" equalAverage="0" bottom="0" percent="0" rank="0" text="Not started" dxfId="15">
      <formula>NOT(ISERROR(SEARCH("Not started",F6)))</formula>
    </cfRule>
    <cfRule type="containsText" priority="10" operator="containsText" aboveAverage="0" equalAverage="0" bottom="0" percent="0" rank="0" text="Not evidenced" dxfId="15">
      <formula>NOT(ISERROR(SEARCH("Not evidenced",F6)))</formula>
    </cfRule>
  </conditionalFormatting>
  <conditionalFormatting sqref="I6:I35">
    <cfRule type="containsText" priority="11" operator="containsText" aboveAverage="0" equalAverage="0" bottom="0" percent="0" rank="0" text="Approved" dxfId="13">
      <formula>NOT(ISERROR(SEARCH("Approved",I6)))</formula>
    </cfRule>
    <cfRule type="containsText" priority="12" operator="containsText" aboveAverage="0" equalAverage="0" bottom="0" percent="0" rank="0" text="Passed" dxfId="13">
      <formula>NOT(ISERROR(SEARCH("Passed",I6)))</formula>
    </cfRule>
    <cfRule type="containsText" priority="13" operator="containsText" aboveAverage="0" equalAverage="0" bottom="0" percent="0" rank="0" text="Released" dxfId="13">
      <formula>NOT(ISERROR(SEARCH("Released",I6)))</formula>
    </cfRule>
    <cfRule type="containsText" priority="14" operator="containsText" aboveAverage="0" equalAverage="0" bottom="0" percent="0" rank="0" text="Project Owner review" dxfId="1">
      <formula>NOT(ISERROR(SEARCH("Project Owner review",I6)))</formula>
    </cfRule>
    <cfRule type="containsText" priority="15" operator="containsText" aboveAverage="0" equalAverage="0" bottom="0" percent="0" rank="0" text="Pending" dxfId="14">
      <formula>NOT(ISERROR(SEARCH("Pending",I6)))</formula>
    </cfRule>
    <cfRule type="containsText" priority="16" operator="containsText" aboveAverage="0" equalAverage="0" bottom="0" percent="0" rank="0" text="Blocked" dxfId="0">
      <formula>NOT(ISERROR(SEARCH("Blocked",I6)))</formula>
    </cfRule>
    <cfRule type="containsText" priority="17" operator="containsText" aboveAverage="0" equalAverage="0" bottom="0" percent="0" rank="0" text="unresolved" dxfId="0">
      <formula>NOT(ISERROR(SEARCH("unresolved",I6)))</formula>
    </cfRule>
    <cfRule type="containsText" priority="18" operator="containsText" aboveAverage="0" equalAverage="0" bottom="0" percent="0" rank="0" text="Not started" dxfId="15">
      <formula>NOT(ISERROR(SEARCH("Not started",I6)))</formula>
    </cfRule>
    <cfRule type="containsText" priority="19" operator="containsText" aboveAverage="0" equalAverage="0" bottom="0" percent="0" rank="0" text="Not evidenced" dxfId="15">
      <formula>NOT(ISERROR(SEARCH("Not evidenced",I6)))</formula>
    </cfRule>
  </conditionalFormatting>
  <conditionalFormatting sqref="J6:J35">
    <cfRule type="containsText" priority="20" operator="containsText" aboveAverage="0" equalAverage="0" bottom="0" percent="0" rank="0" text="Approved" dxfId="13">
      <formula>NOT(ISERROR(SEARCH("Approved",J6)))</formula>
    </cfRule>
    <cfRule type="containsText" priority="21" operator="containsText" aboveAverage="0" equalAverage="0" bottom="0" percent="0" rank="0" text="Passed" dxfId="13">
      <formula>NOT(ISERROR(SEARCH("Passed",J6)))</formula>
    </cfRule>
    <cfRule type="containsText" priority="22" operator="containsText" aboveAverage="0" equalAverage="0" bottom="0" percent="0" rank="0" text="Released" dxfId="13">
      <formula>NOT(ISERROR(SEARCH("Released",J6)))</formula>
    </cfRule>
    <cfRule type="containsText" priority="23" operator="containsText" aboveAverage="0" equalAverage="0" bottom="0" percent="0" rank="0" text="Project Owner review" dxfId="1">
      <formula>NOT(ISERROR(SEARCH("Project Owner review",J6)))</formula>
    </cfRule>
    <cfRule type="containsText" priority="24" operator="containsText" aboveAverage="0" equalAverage="0" bottom="0" percent="0" rank="0" text="Pending" dxfId="14">
      <formula>NOT(ISERROR(SEARCH("Pending",J6)))</formula>
    </cfRule>
    <cfRule type="containsText" priority="25" operator="containsText" aboveAverage="0" equalAverage="0" bottom="0" percent="0" rank="0" text="Blocked" dxfId="0">
      <formula>NOT(ISERROR(SEARCH("Blocked",J6)))</formula>
    </cfRule>
    <cfRule type="containsText" priority="26" operator="containsText" aboveAverage="0" equalAverage="0" bottom="0" percent="0" rank="0" text="unresolved" dxfId="0">
      <formula>NOT(ISERROR(SEARCH("unresolved",J6)))</formula>
    </cfRule>
    <cfRule type="containsText" priority="27" operator="containsText" aboveAverage="0" equalAverage="0" bottom="0" percent="0" rank="0" text="Not started" dxfId="15">
      <formula>NOT(ISERROR(SEARCH("Not started",J6)))</formula>
    </cfRule>
    <cfRule type="containsText" priority="28" operator="containsText" aboveAverage="0" equalAverage="0" bottom="0" percent="0" rank="0" text="Not evidenced" dxfId="15">
      <formula>NOT(ISERROR(SEARCH("Not evidenced",J6)))</formula>
    </cfRule>
  </conditionalFormatting>
  <conditionalFormatting sqref="K6:K35">
    <cfRule type="containsText" priority="29" operator="containsText" aboveAverage="0" equalAverage="0" bottom="0" percent="0" rank="0" text="Approved" dxfId="13">
      <formula>NOT(ISERROR(SEARCH("Approved",K6)))</formula>
    </cfRule>
    <cfRule type="containsText" priority="30" operator="containsText" aboveAverage="0" equalAverage="0" bottom="0" percent="0" rank="0" text="Passed" dxfId="13">
      <formula>NOT(ISERROR(SEARCH("Passed",K6)))</formula>
    </cfRule>
    <cfRule type="containsText" priority="31" operator="containsText" aboveAverage="0" equalAverage="0" bottom="0" percent="0" rank="0" text="Released" dxfId="13">
      <formula>NOT(ISERROR(SEARCH("Released",K6)))</formula>
    </cfRule>
    <cfRule type="containsText" priority="32" operator="containsText" aboveAverage="0" equalAverage="0" bottom="0" percent="0" rank="0" text="Project Owner review" dxfId="1">
      <formula>NOT(ISERROR(SEARCH("Project Owner review",K6)))</formula>
    </cfRule>
    <cfRule type="containsText" priority="33" operator="containsText" aboveAverage="0" equalAverage="0" bottom="0" percent="0" rank="0" text="Pending" dxfId="14">
      <formula>NOT(ISERROR(SEARCH("Pending",K6)))</formula>
    </cfRule>
    <cfRule type="containsText" priority="34" operator="containsText" aboveAverage="0" equalAverage="0" bottom="0" percent="0" rank="0" text="Blocked" dxfId="0">
      <formula>NOT(ISERROR(SEARCH("Blocked",K6)))</formula>
    </cfRule>
    <cfRule type="containsText" priority="35" operator="containsText" aboveAverage="0" equalAverage="0" bottom="0" percent="0" rank="0" text="unresolved" dxfId="0">
      <formula>NOT(ISERROR(SEARCH("unresolved",K6)))</formula>
    </cfRule>
    <cfRule type="containsText" priority="36" operator="containsText" aboveAverage="0" equalAverage="0" bottom="0" percent="0" rank="0" text="Not started" dxfId="15">
      <formula>NOT(ISERROR(SEARCH("Not started",K6)))</formula>
    </cfRule>
    <cfRule type="containsText" priority="37" operator="containsText" aboveAverage="0" equalAverage="0" bottom="0" percent="0" rank="0" text="Not evidenced" dxfId="15">
      <formula>NOT(ISERROR(SEARCH("Not evidenced",K6)))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3"/>
    <col collapsed="false" customWidth="true" hidden="false" outlineLevel="0" max="4" min="4" style="0" width="48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37"/>
    <col collapsed="false" customWidth="true" hidden="false" outlineLevel="0" max="9" min="9" style="0" width="50"/>
  </cols>
  <sheetData>
    <row r="1" customFormat="false" ht="37.5" hidden="false" customHeight="true" outlineLevel="0" collapsed="false">
      <c r="A1" s="1" t="s">
        <v>407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3.75" hidden="false" customHeight="true" outlineLevel="0" collapsed="false">
      <c r="A2" s="3" t="s">
        <v>408</v>
      </c>
      <c r="B2" s="3"/>
      <c r="C2" s="3"/>
      <c r="D2" s="3"/>
      <c r="E2" s="3"/>
      <c r="F2" s="3"/>
      <c r="G2" s="3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6" hidden="false" customHeight="true" outlineLevel="0" collapsed="false">
      <c r="A5" s="12" t="s">
        <v>409</v>
      </c>
      <c r="B5" s="12" t="s">
        <v>410</v>
      </c>
      <c r="C5" s="12" t="s">
        <v>411</v>
      </c>
      <c r="D5" s="12" t="s">
        <v>412</v>
      </c>
      <c r="E5" s="12" t="s">
        <v>124</v>
      </c>
      <c r="F5" s="12" t="s">
        <v>127</v>
      </c>
      <c r="G5" s="12" t="s">
        <v>413</v>
      </c>
      <c r="H5" s="12" t="s">
        <v>414</v>
      </c>
      <c r="I5" s="12" t="s">
        <v>415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43.5" hidden="false" customHeight="true" outlineLevel="0" collapsed="false">
      <c r="A6" s="2" t="s">
        <v>416</v>
      </c>
      <c r="B6" s="8" t="s">
        <v>138</v>
      </c>
      <c r="C6" s="8" t="s">
        <v>169</v>
      </c>
      <c r="D6" s="8" t="s">
        <v>417</v>
      </c>
      <c r="E6" s="8" t="s">
        <v>418</v>
      </c>
      <c r="F6" s="8" t="s">
        <v>142</v>
      </c>
      <c r="G6" s="8" t="s">
        <v>142</v>
      </c>
      <c r="H6" s="8" t="s">
        <v>419</v>
      </c>
      <c r="I6" s="8" t="s">
        <v>420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43.5" hidden="false" customHeight="true" outlineLevel="0" collapsed="false">
      <c r="A7" s="2" t="s">
        <v>421</v>
      </c>
      <c r="B7" s="8" t="s">
        <v>152</v>
      </c>
      <c r="C7" s="8" t="s">
        <v>169</v>
      </c>
      <c r="D7" s="8" t="s">
        <v>422</v>
      </c>
      <c r="E7" s="8" t="s">
        <v>418</v>
      </c>
      <c r="F7" s="8" t="s">
        <v>142</v>
      </c>
      <c r="G7" s="8" t="s">
        <v>142</v>
      </c>
      <c r="H7" s="8" t="s">
        <v>423</v>
      </c>
      <c r="I7" s="8" t="s">
        <v>424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43.5" hidden="false" customHeight="true" outlineLevel="0" collapsed="false">
      <c r="A8" s="2" t="s">
        <v>425</v>
      </c>
      <c r="B8" s="8" t="s">
        <v>161</v>
      </c>
      <c r="C8" s="8" t="s">
        <v>169</v>
      </c>
      <c r="D8" s="8" t="s">
        <v>426</v>
      </c>
      <c r="E8" s="8" t="s">
        <v>418</v>
      </c>
      <c r="F8" s="8" t="s">
        <v>142</v>
      </c>
      <c r="G8" s="8" t="s">
        <v>142</v>
      </c>
      <c r="H8" s="8" t="s">
        <v>427</v>
      </c>
      <c r="I8" s="8" t="s">
        <v>428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43.5" hidden="false" customHeight="true" outlineLevel="0" collapsed="false">
      <c r="A9" s="2" t="s">
        <v>429</v>
      </c>
      <c r="B9" s="8" t="s">
        <v>169</v>
      </c>
      <c r="C9" s="8" t="s">
        <v>179</v>
      </c>
      <c r="D9" s="8" t="s">
        <v>430</v>
      </c>
      <c r="E9" s="8" t="s">
        <v>418</v>
      </c>
      <c r="F9" s="8" t="s">
        <v>142</v>
      </c>
      <c r="G9" s="8" t="s">
        <v>142</v>
      </c>
      <c r="H9" s="8" t="s">
        <v>431</v>
      </c>
      <c r="I9" s="8" t="s">
        <v>432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43.5" hidden="false" customHeight="true" outlineLevel="0" collapsed="false">
      <c r="A10" s="2" t="s">
        <v>433</v>
      </c>
      <c r="B10" s="8" t="s">
        <v>179</v>
      </c>
      <c r="C10" s="8" t="s">
        <v>196</v>
      </c>
      <c r="D10" s="8" t="s">
        <v>434</v>
      </c>
      <c r="E10" s="8" t="s">
        <v>418</v>
      </c>
      <c r="F10" s="8" t="s">
        <v>190</v>
      </c>
      <c r="G10" s="8" t="s">
        <v>142</v>
      </c>
      <c r="H10" s="8" t="s">
        <v>435</v>
      </c>
      <c r="I10" s="8" t="s">
        <v>436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43.5" hidden="false" customHeight="true" outlineLevel="0" collapsed="false">
      <c r="A11" s="2" t="s">
        <v>437</v>
      </c>
      <c r="B11" s="8" t="s">
        <v>188</v>
      </c>
      <c r="C11" s="8" t="s">
        <v>438</v>
      </c>
      <c r="D11" s="8" t="s">
        <v>439</v>
      </c>
      <c r="E11" s="8" t="s">
        <v>440</v>
      </c>
      <c r="F11" s="8" t="s">
        <v>190</v>
      </c>
      <c r="G11" s="8" t="s">
        <v>142</v>
      </c>
      <c r="H11" s="8" t="s">
        <v>441</v>
      </c>
      <c r="I11" s="8" t="s">
        <v>442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43.5" hidden="false" customHeight="true" outlineLevel="0" collapsed="false">
      <c r="A12" s="2" t="s">
        <v>443</v>
      </c>
      <c r="B12" s="8" t="s">
        <v>217</v>
      </c>
      <c r="C12" s="8" t="s">
        <v>444</v>
      </c>
      <c r="D12" s="8" t="s">
        <v>445</v>
      </c>
      <c r="E12" s="8" t="s">
        <v>446</v>
      </c>
      <c r="F12" s="8" t="s">
        <v>190</v>
      </c>
      <c r="G12" s="8" t="s">
        <v>209</v>
      </c>
      <c r="H12" s="8" t="s">
        <v>447</v>
      </c>
      <c r="I12" s="8" t="s">
        <v>448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43.5" hidden="false" customHeight="true" outlineLevel="0" collapsed="false">
      <c r="A13" s="2" t="s">
        <v>449</v>
      </c>
      <c r="B13" s="8" t="s">
        <v>196</v>
      </c>
      <c r="C13" s="8" t="s">
        <v>450</v>
      </c>
      <c r="D13" s="8" t="s">
        <v>451</v>
      </c>
      <c r="E13" s="8" t="s">
        <v>418</v>
      </c>
      <c r="F13" s="8" t="s">
        <v>190</v>
      </c>
      <c r="G13" s="8" t="s">
        <v>142</v>
      </c>
      <c r="H13" s="8" t="s">
        <v>452</v>
      </c>
      <c r="I13" s="8" t="s">
        <v>453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43.5" hidden="false" customHeight="true" outlineLevel="0" collapsed="false">
      <c r="A14" s="2" t="s">
        <v>454</v>
      </c>
      <c r="B14" s="8" t="s">
        <v>450</v>
      </c>
      <c r="C14" s="8" t="s">
        <v>196</v>
      </c>
      <c r="D14" s="8" t="s">
        <v>455</v>
      </c>
      <c r="E14" s="8" t="s">
        <v>418</v>
      </c>
      <c r="F14" s="8" t="s">
        <v>190</v>
      </c>
      <c r="G14" s="8" t="s">
        <v>142</v>
      </c>
      <c r="H14" s="8" t="s">
        <v>456</v>
      </c>
      <c r="I14" s="8" t="s">
        <v>457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43.5" hidden="false" customHeight="true" outlineLevel="0" collapsed="false">
      <c r="A15" s="2" t="s">
        <v>458</v>
      </c>
      <c r="B15" s="8" t="s">
        <v>169</v>
      </c>
      <c r="C15" s="8" t="s">
        <v>152</v>
      </c>
      <c r="D15" s="8" t="s">
        <v>459</v>
      </c>
      <c r="E15" s="8" t="s">
        <v>418</v>
      </c>
      <c r="F15" s="8" t="s">
        <v>142</v>
      </c>
      <c r="G15" s="8" t="s">
        <v>142</v>
      </c>
      <c r="H15" s="8" t="s">
        <v>460</v>
      </c>
      <c r="I15" s="8" t="s">
        <v>461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43.5" hidden="false" customHeight="true" outlineLevel="0" collapsed="false">
      <c r="A16" s="2" t="s">
        <v>462</v>
      </c>
      <c r="B16" s="8" t="s">
        <v>152</v>
      </c>
      <c r="C16" s="8" t="s">
        <v>169</v>
      </c>
      <c r="D16" s="8" t="s">
        <v>463</v>
      </c>
      <c r="E16" s="8" t="s">
        <v>418</v>
      </c>
      <c r="F16" s="8" t="s">
        <v>142</v>
      </c>
      <c r="G16" s="8" t="s">
        <v>142</v>
      </c>
      <c r="H16" s="8" t="s">
        <v>423</v>
      </c>
      <c r="I16" s="8" t="s">
        <v>464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43.5" hidden="false" customHeight="true" outlineLevel="0" collapsed="false">
      <c r="A17" s="2" t="s">
        <v>465</v>
      </c>
      <c r="B17" s="8" t="s">
        <v>466</v>
      </c>
      <c r="C17" s="8" t="s">
        <v>467</v>
      </c>
      <c r="D17" s="8" t="s">
        <v>468</v>
      </c>
      <c r="E17" s="8" t="s">
        <v>469</v>
      </c>
      <c r="F17" s="8" t="s">
        <v>190</v>
      </c>
      <c r="G17" s="8" t="s">
        <v>142</v>
      </c>
      <c r="H17" s="8" t="s">
        <v>470</v>
      </c>
      <c r="I17" s="8" t="s">
        <v>471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43.5" hidden="false" customHeight="true" outlineLevel="0" collapsed="false">
      <c r="A18" s="2" t="s">
        <v>472</v>
      </c>
      <c r="B18" s="8" t="s">
        <v>196</v>
      </c>
      <c r="C18" s="8" t="s">
        <v>450</v>
      </c>
      <c r="D18" s="8" t="s">
        <v>473</v>
      </c>
      <c r="E18" s="8" t="s">
        <v>418</v>
      </c>
      <c r="F18" s="8" t="s">
        <v>190</v>
      </c>
      <c r="G18" s="8" t="s">
        <v>142</v>
      </c>
      <c r="H18" s="8" t="s">
        <v>474</v>
      </c>
      <c r="I18" s="8" t="s">
        <v>475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43.5" hidden="false" customHeight="true" outlineLevel="0" collapsed="false">
      <c r="A19" s="2" t="s">
        <v>476</v>
      </c>
      <c r="B19" s="8" t="s">
        <v>217</v>
      </c>
      <c r="C19" s="8" t="s">
        <v>477</v>
      </c>
      <c r="D19" s="8" t="s">
        <v>478</v>
      </c>
      <c r="E19" s="8" t="s">
        <v>418</v>
      </c>
      <c r="F19" s="8" t="s">
        <v>190</v>
      </c>
      <c r="G19" s="8" t="s">
        <v>142</v>
      </c>
      <c r="H19" s="8" t="s">
        <v>479</v>
      </c>
      <c r="I19" s="8" t="s">
        <v>480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43.5" hidden="false" customHeight="true" outlineLevel="0" collapsed="false">
      <c r="A20" s="2" t="s">
        <v>481</v>
      </c>
      <c r="B20" s="8" t="s">
        <v>450</v>
      </c>
      <c r="C20" s="8" t="s">
        <v>379</v>
      </c>
      <c r="D20" s="8" t="s">
        <v>482</v>
      </c>
      <c r="E20" s="8" t="s">
        <v>483</v>
      </c>
      <c r="F20" s="8" t="s">
        <v>229</v>
      </c>
      <c r="G20" s="8" t="s">
        <v>229</v>
      </c>
      <c r="H20" s="8" t="s">
        <v>484</v>
      </c>
      <c r="I20" s="8" t="s">
        <v>485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43.5" hidden="false" customHeight="true" outlineLevel="0" collapsed="false">
      <c r="A21" s="2" t="s">
        <v>486</v>
      </c>
      <c r="B21" s="8" t="s">
        <v>487</v>
      </c>
      <c r="C21" s="8" t="s">
        <v>488</v>
      </c>
      <c r="D21" s="8" t="s">
        <v>489</v>
      </c>
      <c r="E21" s="8" t="s">
        <v>490</v>
      </c>
      <c r="F21" s="8" t="s">
        <v>229</v>
      </c>
      <c r="G21" s="8" t="s">
        <v>229</v>
      </c>
      <c r="H21" s="8" t="s">
        <v>491</v>
      </c>
      <c r="I21" s="8" t="s">
        <v>492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43.5" hidden="false" customHeight="true" outlineLevel="0" collapsed="false">
      <c r="A22" s="2" t="s">
        <v>493</v>
      </c>
      <c r="B22" s="8" t="s">
        <v>494</v>
      </c>
      <c r="C22" s="8" t="s">
        <v>402</v>
      </c>
      <c r="D22" s="8" t="s">
        <v>495</v>
      </c>
      <c r="E22" s="8" t="s">
        <v>496</v>
      </c>
      <c r="F22" s="8" t="s">
        <v>229</v>
      </c>
      <c r="G22" s="8" t="s">
        <v>229</v>
      </c>
      <c r="H22" s="8" t="s">
        <v>497</v>
      </c>
      <c r="I22" s="8" t="s">
        <v>498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43.5" hidden="false" customHeight="true" outlineLevel="0" collapsed="false">
      <c r="A23" s="2" t="s">
        <v>499</v>
      </c>
      <c r="B23" s="8" t="s">
        <v>500</v>
      </c>
      <c r="C23" s="8" t="s">
        <v>501</v>
      </c>
      <c r="D23" s="8" t="s">
        <v>502</v>
      </c>
      <c r="E23" s="8" t="s">
        <v>496</v>
      </c>
      <c r="F23" s="8" t="s">
        <v>229</v>
      </c>
      <c r="G23" s="8" t="s">
        <v>229</v>
      </c>
      <c r="H23" s="8" t="s">
        <v>497</v>
      </c>
      <c r="I23" s="8" t="s">
        <v>503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43.5" hidden="false" customHeight="true" outlineLevel="0" collapsed="false">
      <c r="A24" s="2" t="s">
        <v>504</v>
      </c>
      <c r="B24" s="8" t="s">
        <v>402</v>
      </c>
      <c r="C24" s="8" t="s">
        <v>505</v>
      </c>
      <c r="D24" s="8" t="s">
        <v>506</v>
      </c>
      <c r="E24" s="8" t="s">
        <v>496</v>
      </c>
      <c r="F24" s="8" t="s">
        <v>229</v>
      </c>
      <c r="G24" s="8" t="s">
        <v>229</v>
      </c>
      <c r="H24" s="8" t="s">
        <v>497</v>
      </c>
      <c r="I24" s="8" t="s">
        <v>507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43.5" hidden="false" customHeight="true" outlineLevel="0" collapsed="false">
      <c r="A25" s="2" t="s">
        <v>508</v>
      </c>
      <c r="B25" s="8" t="s">
        <v>509</v>
      </c>
      <c r="C25" s="8" t="s">
        <v>510</v>
      </c>
      <c r="D25" s="8" t="s">
        <v>511</v>
      </c>
      <c r="E25" s="8" t="s">
        <v>496</v>
      </c>
      <c r="F25" s="8" t="s">
        <v>229</v>
      </c>
      <c r="G25" s="8" t="s">
        <v>229</v>
      </c>
      <c r="H25" s="8" t="s">
        <v>512</v>
      </c>
      <c r="I25" s="8" t="s">
        <v>513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I1"/>
    <mergeCell ref="A2:I2"/>
  </mergeCells>
  <conditionalFormatting sqref="E6:E25">
    <cfRule type="containsText" priority="2" operator="containsText" aboveAverage="0" equalAverage="0" bottom="0" percent="0" rank="0" text="Approved" dxfId="13">
      <formula>NOT(ISERROR(SEARCH("Approved",E6)))</formula>
    </cfRule>
    <cfRule type="containsText" priority="3" operator="containsText" aboveAverage="0" equalAverage="0" bottom="0" percent="0" rank="0" text="Passed" dxfId="13">
      <formula>NOT(ISERROR(SEARCH("Passed",E6)))</formula>
    </cfRule>
    <cfRule type="containsText" priority="4" operator="containsText" aboveAverage="0" equalAverage="0" bottom="0" percent="0" rank="0" text="Released" dxfId="13">
      <formula>NOT(ISERROR(SEARCH("Released",E6)))</formula>
    </cfRule>
    <cfRule type="containsText" priority="5" operator="containsText" aboveAverage="0" equalAverage="0" bottom="0" percent="0" rank="0" text="Project Owner review" dxfId="1">
      <formula>NOT(ISERROR(SEARCH("Project Owner review",E6)))</formula>
    </cfRule>
    <cfRule type="containsText" priority="6" operator="containsText" aboveAverage="0" equalAverage="0" bottom="0" percent="0" rank="0" text="Pending" dxfId="14">
      <formula>NOT(ISERROR(SEARCH("Pending",E6)))</formula>
    </cfRule>
    <cfRule type="containsText" priority="7" operator="containsText" aboveAverage="0" equalAverage="0" bottom="0" percent="0" rank="0" text="Blocked" dxfId="0">
      <formula>NOT(ISERROR(SEARCH("Blocked",E6)))</formula>
    </cfRule>
    <cfRule type="containsText" priority="8" operator="containsText" aboveAverage="0" equalAverage="0" bottom="0" percent="0" rank="0" text="unresolved" dxfId="0">
      <formula>NOT(ISERROR(SEARCH("unresolved",E6)))</formula>
    </cfRule>
    <cfRule type="containsText" priority="9" operator="containsText" aboveAverage="0" equalAverage="0" bottom="0" percent="0" rank="0" text="Not started" dxfId="15">
      <formula>NOT(ISERROR(SEARCH("Not started",E6)))</formula>
    </cfRule>
    <cfRule type="containsText" priority="10" operator="containsText" aboveAverage="0" equalAverage="0" bottom="0" percent="0" rank="0" text="Not evidenced" dxfId="15">
      <formula>NOT(ISERROR(SEARCH("Not evidenced",E6)))</formula>
    </cfRule>
  </conditionalFormatting>
  <conditionalFormatting sqref="F6:F25">
    <cfRule type="containsText" priority="11" operator="containsText" aboveAverage="0" equalAverage="0" bottom="0" percent="0" rank="0" text="Approved" dxfId="13">
      <formula>NOT(ISERROR(SEARCH("Approved",F6)))</formula>
    </cfRule>
    <cfRule type="containsText" priority="12" operator="containsText" aboveAverage="0" equalAverage="0" bottom="0" percent="0" rank="0" text="Passed" dxfId="13">
      <formula>NOT(ISERROR(SEARCH("Passed",F6)))</formula>
    </cfRule>
    <cfRule type="containsText" priority="13" operator="containsText" aboveAverage="0" equalAverage="0" bottom="0" percent="0" rank="0" text="Released" dxfId="13">
      <formula>NOT(ISERROR(SEARCH("Released",F6)))</formula>
    </cfRule>
    <cfRule type="containsText" priority="14" operator="containsText" aboveAverage="0" equalAverage="0" bottom="0" percent="0" rank="0" text="Project Owner review" dxfId="1">
      <formula>NOT(ISERROR(SEARCH("Project Owner review",F6)))</formula>
    </cfRule>
    <cfRule type="containsText" priority="15" operator="containsText" aboveAverage="0" equalAverage="0" bottom="0" percent="0" rank="0" text="Pending" dxfId="14">
      <formula>NOT(ISERROR(SEARCH("Pending",F6)))</formula>
    </cfRule>
    <cfRule type="containsText" priority="16" operator="containsText" aboveAverage="0" equalAverage="0" bottom="0" percent="0" rank="0" text="Blocked" dxfId="0">
      <formula>NOT(ISERROR(SEARCH("Blocked",F6)))</formula>
    </cfRule>
    <cfRule type="containsText" priority="17" operator="containsText" aboveAverage="0" equalAverage="0" bottom="0" percent="0" rank="0" text="unresolved" dxfId="0">
      <formula>NOT(ISERROR(SEARCH("unresolved",F6)))</formula>
    </cfRule>
    <cfRule type="containsText" priority="18" operator="containsText" aboveAverage="0" equalAverage="0" bottom="0" percent="0" rank="0" text="Not started" dxfId="15">
      <formula>NOT(ISERROR(SEARCH("Not started",F6)))</formula>
    </cfRule>
    <cfRule type="containsText" priority="19" operator="containsText" aboveAverage="0" equalAverage="0" bottom="0" percent="0" rank="0" text="Not evidenced" dxfId="15">
      <formula>NOT(ISERROR(SEARCH("Not evidenced",F6)))</formula>
    </cfRule>
  </conditionalFormatting>
  <conditionalFormatting sqref="G6:G25">
    <cfRule type="containsText" priority="20" operator="containsText" aboveAverage="0" equalAverage="0" bottom="0" percent="0" rank="0" text="Approved" dxfId="13">
      <formula>NOT(ISERROR(SEARCH("Approved",G6)))</formula>
    </cfRule>
    <cfRule type="containsText" priority="21" operator="containsText" aboveAverage="0" equalAverage="0" bottom="0" percent="0" rank="0" text="Passed" dxfId="13">
      <formula>NOT(ISERROR(SEARCH("Passed",G6)))</formula>
    </cfRule>
    <cfRule type="containsText" priority="22" operator="containsText" aboveAverage="0" equalAverage="0" bottom="0" percent="0" rank="0" text="Released" dxfId="13">
      <formula>NOT(ISERROR(SEARCH("Released",G6)))</formula>
    </cfRule>
    <cfRule type="containsText" priority="23" operator="containsText" aboveAverage="0" equalAverage="0" bottom="0" percent="0" rank="0" text="Project Owner review" dxfId="1">
      <formula>NOT(ISERROR(SEARCH("Project Owner review",G6)))</formula>
    </cfRule>
    <cfRule type="containsText" priority="24" operator="containsText" aboveAverage="0" equalAverage="0" bottom="0" percent="0" rank="0" text="Pending" dxfId="14">
      <formula>NOT(ISERROR(SEARCH("Pending",G6)))</formula>
    </cfRule>
    <cfRule type="containsText" priority="25" operator="containsText" aboveAverage="0" equalAverage="0" bottom="0" percent="0" rank="0" text="Blocked" dxfId="0">
      <formula>NOT(ISERROR(SEARCH("Blocked",G6)))</formula>
    </cfRule>
    <cfRule type="containsText" priority="26" operator="containsText" aboveAverage="0" equalAverage="0" bottom="0" percent="0" rank="0" text="unresolved" dxfId="0">
      <formula>NOT(ISERROR(SEARCH("unresolved",G6)))</formula>
    </cfRule>
    <cfRule type="containsText" priority="27" operator="containsText" aboveAverage="0" equalAverage="0" bottom="0" percent="0" rank="0" text="Not started" dxfId="15">
      <formula>NOT(ISERROR(SEARCH("Not started",G6)))</formula>
    </cfRule>
    <cfRule type="containsText" priority="28" operator="containsText" aboveAverage="0" equalAverage="0" bottom="0" percent="0" rank="0" text="Not evidenced" dxfId="15">
      <formula>NOT(ISERROR(SEARCH("Not evidenced",G6)))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6" min="5" style="0" width="46"/>
  </cols>
  <sheetData>
    <row r="1" customFormat="false" ht="37.5" hidden="false" customHeight="true" outlineLevel="0" collapsed="false">
      <c r="A1" s="1" t="s">
        <v>514</v>
      </c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3.75" hidden="false" customHeight="true" outlineLevel="0" collapsed="false">
      <c r="A2" s="3" t="s">
        <v>515</v>
      </c>
      <c r="B2" s="3"/>
      <c r="C2" s="3"/>
      <c r="D2" s="3"/>
      <c r="E2" s="3"/>
      <c r="F2" s="3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6" hidden="false" customHeight="true" outlineLevel="0" collapsed="false">
      <c r="A5" s="12" t="s">
        <v>516</v>
      </c>
      <c r="B5" s="12" t="s">
        <v>517</v>
      </c>
      <c r="C5" s="12" t="s">
        <v>14</v>
      </c>
      <c r="D5" s="12" t="s">
        <v>518</v>
      </c>
      <c r="E5" s="12" t="s">
        <v>519</v>
      </c>
      <c r="F5" s="12" t="s">
        <v>520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43.5" hidden="false" customHeight="true" outlineLevel="0" collapsed="false">
      <c r="A6" s="2" t="s">
        <v>521</v>
      </c>
      <c r="B6" s="8" t="s">
        <v>522</v>
      </c>
      <c r="C6" s="2" t="s">
        <v>523</v>
      </c>
      <c r="D6" s="8" t="s">
        <v>524</v>
      </c>
      <c r="E6" s="8" t="s">
        <v>525</v>
      </c>
      <c r="F6" s="8" t="s">
        <v>526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43.5" hidden="false" customHeight="true" outlineLevel="0" collapsed="false">
      <c r="A7" s="2" t="s">
        <v>527</v>
      </c>
      <c r="B7" s="8" t="s">
        <v>528</v>
      </c>
      <c r="C7" s="2" t="s">
        <v>523</v>
      </c>
      <c r="D7" s="8" t="s">
        <v>158</v>
      </c>
      <c r="E7" s="8" t="s">
        <v>529</v>
      </c>
      <c r="F7" s="8" t="s">
        <v>530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43.5" hidden="false" customHeight="true" outlineLevel="0" collapsed="false">
      <c r="A8" s="2" t="s">
        <v>531</v>
      </c>
      <c r="B8" s="8" t="s">
        <v>532</v>
      </c>
      <c r="C8" s="2" t="s">
        <v>523</v>
      </c>
      <c r="D8" s="8" t="s">
        <v>533</v>
      </c>
      <c r="E8" s="8" t="s">
        <v>534</v>
      </c>
      <c r="F8" s="8" t="s">
        <v>535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43.5" hidden="false" customHeight="true" outlineLevel="0" collapsed="false">
      <c r="A9" s="2" t="s">
        <v>536</v>
      </c>
      <c r="B9" s="8" t="s">
        <v>537</v>
      </c>
      <c r="C9" s="2" t="s">
        <v>523</v>
      </c>
      <c r="D9" s="8" t="s">
        <v>214</v>
      </c>
      <c r="E9" s="8" t="s">
        <v>538</v>
      </c>
      <c r="F9" s="8" t="s">
        <v>539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43.5" hidden="false" customHeight="true" outlineLevel="0" collapsed="false">
      <c r="A10" s="2" t="s">
        <v>540</v>
      </c>
      <c r="B10" s="8" t="s">
        <v>541</v>
      </c>
      <c r="C10" s="2" t="s">
        <v>523</v>
      </c>
      <c r="D10" s="8" t="s">
        <v>542</v>
      </c>
      <c r="E10" s="8" t="s">
        <v>543</v>
      </c>
      <c r="F10" s="8" t="s">
        <v>544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43.5" hidden="false" customHeight="true" outlineLevel="0" collapsed="false">
      <c r="A11" s="2" t="s">
        <v>545</v>
      </c>
      <c r="B11" s="8" t="s">
        <v>546</v>
      </c>
      <c r="C11" s="2" t="s">
        <v>523</v>
      </c>
      <c r="D11" s="8" t="s">
        <v>547</v>
      </c>
      <c r="E11" s="8" t="s">
        <v>548</v>
      </c>
      <c r="F11" s="8" t="s">
        <v>549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43.5" hidden="false" customHeight="true" outlineLevel="0" collapsed="false">
      <c r="A12" s="2" t="s">
        <v>550</v>
      </c>
      <c r="B12" s="8" t="s">
        <v>551</v>
      </c>
      <c r="C12" s="2" t="s">
        <v>523</v>
      </c>
      <c r="D12" s="8" t="s">
        <v>552</v>
      </c>
      <c r="E12" s="8" t="s">
        <v>553</v>
      </c>
      <c r="F12" s="8" t="s">
        <v>554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43.5" hidden="false" customHeight="true" outlineLevel="0" collapsed="false">
      <c r="A13" s="2" t="s">
        <v>555</v>
      </c>
      <c r="B13" s="8" t="s">
        <v>556</v>
      </c>
      <c r="C13" s="2" t="s">
        <v>523</v>
      </c>
      <c r="D13" s="8" t="s">
        <v>547</v>
      </c>
      <c r="E13" s="8" t="s">
        <v>557</v>
      </c>
      <c r="F13" s="8" t="s">
        <v>558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43.5" hidden="false" customHeight="true" outlineLevel="0" collapsed="false">
      <c r="A14" s="2" t="s">
        <v>559</v>
      </c>
      <c r="B14" s="8" t="s">
        <v>560</v>
      </c>
      <c r="C14" s="2" t="s">
        <v>523</v>
      </c>
      <c r="D14" s="8" t="s">
        <v>195</v>
      </c>
      <c r="E14" s="8" t="s">
        <v>561</v>
      </c>
      <c r="F14" s="8" t="s">
        <v>562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43.5" hidden="false" customHeight="true" outlineLevel="0" collapsed="false">
      <c r="A15" s="2" t="s">
        <v>563</v>
      </c>
      <c r="B15" s="8" t="s">
        <v>564</v>
      </c>
      <c r="C15" s="2" t="s">
        <v>523</v>
      </c>
      <c r="D15" s="8" t="s">
        <v>565</v>
      </c>
      <c r="E15" s="8" t="s">
        <v>566</v>
      </c>
      <c r="F15" s="8" t="s">
        <v>567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43.5" hidden="false" customHeight="true" outlineLevel="0" collapsed="false">
      <c r="A16" s="2" t="s">
        <v>568</v>
      </c>
      <c r="B16" s="8" t="s">
        <v>569</v>
      </c>
      <c r="C16" s="2" t="s">
        <v>523</v>
      </c>
      <c r="D16" s="8" t="s">
        <v>203</v>
      </c>
      <c r="E16" s="8" t="s">
        <v>570</v>
      </c>
      <c r="F16" s="8" t="s">
        <v>571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43.5" hidden="false" customHeight="true" outlineLevel="0" collapsed="false">
      <c r="A17" s="2" t="s">
        <v>572</v>
      </c>
      <c r="B17" s="8" t="s">
        <v>573</v>
      </c>
      <c r="C17" s="2" t="s">
        <v>523</v>
      </c>
      <c r="D17" s="8" t="s">
        <v>574</v>
      </c>
      <c r="E17" s="8" t="s">
        <v>575</v>
      </c>
      <c r="F17" s="8" t="s">
        <v>576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43.5" hidden="false" customHeight="true" outlineLevel="0" collapsed="false">
      <c r="A18" s="2" t="s">
        <v>577</v>
      </c>
      <c r="B18" s="8" t="s">
        <v>578</v>
      </c>
      <c r="C18" s="2" t="s">
        <v>523</v>
      </c>
      <c r="D18" s="8" t="s">
        <v>574</v>
      </c>
      <c r="E18" s="8" t="s">
        <v>579</v>
      </c>
      <c r="F18" s="8" t="s">
        <v>580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43.5" hidden="false" customHeight="true" outlineLevel="0" collapsed="false">
      <c r="A19" s="2" t="s">
        <v>581</v>
      </c>
      <c r="B19" s="8" t="s">
        <v>582</v>
      </c>
      <c r="C19" s="2" t="s">
        <v>523</v>
      </c>
      <c r="D19" s="8" t="s">
        <v>583</v>
      </c>
      <c r="E19" s="8" t="s">
        <v>584</v>
      </c>
      <c r="F19" s="8" t="s">
        <v>585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43.5" hidden="false" customHeight="true" outlineLevel="0" collapsed="false">
      <c r="A20" s="2" t="s">
        <v>586</v>
      </c>
      <c r="B20" s="8" t="s">
        <v>587</v>
      </c>
      <c r="C20" s="2" t="s">
        <v>523</v>
      </c>
      <c r="D20" s="8" t="s">
        <v>588</v>
      </c>
      <c r="E20" s="8" t="s">
        <v>589</v>
      </c>
      <c r="F20" s="8" t="s">
        <v>590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43.5" hidden="false" customHeight="true" outlineLevel="0" collapsed="false">
      <c r="A21" s="2" t="s">
        <v>591</v>
      </c>
      <c r="B21" s="8" t="s">
        <v>592</v>
      </c>
      <c r="C21" s="2" t="s">
        <v>523</v>
      </c>
      <c r="D21" s="8" t="s">
        <v>593</v>
      </c>
      <c r="E21" s="8" t="s">
        <v>594</v>
      </c>
      <c r="F21" s="8" t="s">
        <v>595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43.5" hidden="false" customHeight="true" outlineLevel="0" collapsed="false">
      <c r="A22" s="2" t="s">
        <v>596</v>
      </c>
      <c r="B22" s="8" t="s">
        <v>597</v>
      </c>
      <c r="C22" s="2" t="s">
        <v>523</v>
      </c>
      <c r="D22" s="8" t="s">
        <v>470</v>
      </c>
      <c r="E22" s="8" t="s">
        <v>598</v>
      </c>
      <c r="F22" s="8" t="s">
        <v>599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43.5" hidden="false" customHeight="true" outlineLevel="0" collapsed="false">
      <c r="A23" s="2" t="s">
        <v>600</v>
      </c>
      <c r="B23" s="8" t="s">
        <v>601</v>
      </c>
      <c r="C23" s="2" t="s">
        <v>523</v>
      </c>
      <c r="D23" s="8" t="s">
        <v>460</v>
      </c>
      <c r="E23" s="8" t="s">
        <v>602</v>
      </c>
      <c r="F23" s="8" t="s">
        <v>603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43.5" hidden="false" customHeight="true" outlineLevel="0" collapsed="false">
      <c r="A24" s="2" t="s">
        <v>604</v>
      </c>
      <c r="B24" s="8" t="s">
        <v>605</v>
      </c>
      <c r="C24" s="2" t="s">
        <v>523</v>
      </c>
      <c r="D24" s="8" t="s">
        <v>606</v>
      </c>
      <c r="E24" s="8" t="s">
        <v>607</v>
      </c>
      <c r="F24" s="8" t="s">
        <v>608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43.5" hidden="false" customHeight="true" outlineLevel="0" collapsed="false">
      <c r="A25" s="2" t="s">
        <v>609</v>
      </c>
      <c r="B25" s="8" t="s">
        <v>610</v>
      </c>
      <c r="C25" s="2" t="s">
        <v>523</v>
      </c>
      <c r="D25" s="8" t="s">
        <v>611</v>
      </c>
      <c r="E25" s="8" t="s">
        <v>612</v>
      </c>
      <c r="F25" s="8" t="s">
        <v>613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43.5" hidden="false" customHeight="true" outlineLevel="0" collapsed="false">
      <c r="A26" s="2" t="s">
        <v>614</v>
      </c>
      <c r="B26" s="8" t="s">
        <v>615</v>
      </c>
      <c r="C26" s="2" t="s">
        <v>523</v>
      </c>
      <c r="D26" s="8" t="s">
        <v>616</v>
      </c>
      <c r="E26" s="8" t="s">
        <v>617</v>
      </c>
      <c r="F26" s="8" t="s">
        <v>618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43.5" hidden="false" customHeight="true" outlineLevel="0" collapsed="false">
      <c r="A27" s="2" t="s">
        <v>619</v>
      </c>
      <c r="B27" s="8" t="s">
        <v>620</v>
      </c>
      <c r="C27" s="2" t="s">
        <v>523</v>
      </c>
      <c r="D27" s="8" t="s">
        <v>431</v>
      </c>
      <c r="E27" s="8" t="s">
        <v>621</v>
      </c>
      <c r="F27" s="8" t="s">
        <v>622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43.5" hidden="false" customHeight="true" outlineLevel="0" collapsed="false">
      <c r="A28" s="2" t="s">
        <v>623</v>
      </c>
      <c r="B28" s="8" t="s">
        <v>624</v>
      </c>
      <c r="C28" s="2" t="s">
        <v>523</v>
      </c>
      <c r="D28" s="8" t="s">
        <v>625</v>
      </c>
      <c r="E28" s="8" t="s">
        <v>626</v>
      </c>
      <c r="F28" s="8" t="s">
        <v>627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43.5" hidden="false" customHeight="true" outlineLevel="0" collapsed="false">
      <c r="A29" s="2" t="s">
        <v>628</v>
      </c>
      <c r="B29" s="8" t="s">
        <v>629</v>
      </c>
      <c r="C29" s="2" t="s">
        <v>523</v>
      </c>
      <c r="D29" s="8" t="s">
        <v>630</v>
      </c>
      <c r="E29" s="8" t="s">
        <v>631</v>
      </c>
      <c r="F29" s="8" t="s">
        <v>632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43.5" hidden="false" customHeight="true" outlineLevel="0" collapsed="false">
      <c r="A30" s="2" t="s">
        <v>633</v>
      </c>
      <c r="B30" s="8" t="s">
        <v>634</v>
      </c>
      <c r="C30" s="2" t="s">
        <v>523</v>
      </c>
      <c r="D30" s="8" t="s">
        <v>635</v>
      </c>
      <c r="E30" s="8" t="s">
        <v>636</v>
      </c>
      <c r="F30" s="8" t="s">
        <v>637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43.5" hidden="false" customHeight="true" outlineLevel="0" collapsed="false">
      <c r="A31" s="2" t="s">
        <v>638</v>
      </c>
      <c r="B31" s="8" t="s">
        <v>639</v>
      </c>
      <c r="C31" s="2" t="s">
        <v>523</v>
      </c>
      <c r="D31" s="8" t="s">
        <v>635</v>
      </c>
      <c r="E31" s="8" t="s">
        <v>640</v>
      </c>
      <c r="F31" s="8" t="s">
        <v>641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43.5" hidden="false" customHeight="true" outlineLevel="0" collapsed="false">
      <c r="A32" s="2" t="s">
        <v>642</v>
      </c>
      <c r="B32" s="8" t="s">
        <v>643</v>
      </c>
      <c r="C32" s="2" t="s">
        <v>523</v>
      </c>
      <c r="D32" s="8" t="s">
        <v>644</v>
      </c>
      <c r="E32" s="8" t="s">
        <v>645</v>
      </c>
      <c r="F32" s="8" t="s">
        <v>646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43.5" hidden="false" customHeight="true" outlineLevel="0" collapsed="false">
      <c r="A33" s="2" t="s">
        <v>647</v>
      </c>
      <c r="B33" s="8" t="s">
        <v>648</v>
      </c>
      <c r="C33" s="2" t="s">
        <v>523</v>
      </c>
      <c r="D33" s="8" t="s">
        <v>649</v>
      </c>
      <c r="E33" s="8" t="s">
        <v>650</v>
      </c>
      <c r="F33" s="8" t="s">
        <v>646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43.5" hidden="false" customHeight="true" outlineLevel="0" collapsed="false">
      <c r="A34" s="2" t="s">
        <v>651</v>
      </c>
      <c r="B34" s="8" t="s">
        <v>652</v>
      </c>
      <c r="C34" s="2" t="s">
        <v>523</v>
      </c>
      <c r="D34" s="8" t="s">
        <v>653</v>
      </c>
      <c r="E34" s="8" t="s">
        <v>654</v>
      </c>
      <c r="F34" s="8" t="s">
        <v>655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43.5" hidden="false" customHeight="true" outlineLevel="0" collapsed="false">
      <c r="A35" s="2" t="s">
        <v>656</v>
      </c>
      <c r="B35" s="8" t="s">
        <v>657</v>
      </c>
      <c r="C35" s="2" t="s">
        <v>523</v>
      </c>
      <c r="D35" s="8" t="s">
        <v>658</v>
      </c>
      <c r="E35" s="8" t="s">
        <v>659</v>
      </c>
      <c r="F35" s="8" t="s">
        <v>660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43.5" hidden="false" customHeight="true" outlineLevel="0" collapsed="false">
      <c r="A36" s="2" t="s">
        <v>661</v>
      </c>
      <c r="B36" s="8" t="s">
        <v>662</v>
      </c>
      <c r="C36" s="2" t="s">
        <v>523</v>
      </c>
      <c r="D36" s="8" t="s">
        <v>663</v>
      </c>
      <c r="E36" s="8" t="s">
        <v>664</v>
      </c>
      <c r="F36" s="8" t="s">
        <v>665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43.5" hidden="false" customHeight="true" outlineLevel="0" collapsed="false">
      <c r="A37" s="2" t="s">
        <v>666</v>
      </c>
      <c r="B37" s="8" t="s">
        <v>667</v>
      </c>
      <c r="C37" s="2" t="s">
        <v>523</v>
      </c>
      <c r="D37" s="8" t="s">
        <v>668</v>
      </c>
      <c r="E37" s="8" t="s">
        <v>669</v>
      </c>
      <c r="F37" s="8" t="s">
        <v>670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43.5" hidden="false" customHeight="true" outlineLevel="0" collapsed="false">
      <c r="A38" s="2" t="s">
        <v>671</v>
      </c>
      <c r="B38" s="8" t="s">
        <v>672</v>
      </c>
      <c r="C38" s="2" t="s">
        <v>523</v>
      </c>
      <c r="D38" s="8" t="s">
        <v>673</v>
      </c>
      <c r="E38" s="8" t="s">
        <v>674</v>
      </c>
      <c r="F38" s="8" t="s">
        <v>675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43.5" hidden="false" customHeight="true" outlineLevel="0" collapsed="false">
      <c r="A39" s="2" t="s">
        <v>676</v>
      </c>
      <c r="B39" s="8" t="s">
        <v>677</v>
      </c>
      <c r="C39" s="2" t="s">
        <v>523</v>
      </c>
      <c r="D39" s="8" t="s">
        <v>678</v>
      </c>
      <c r="E39" s="8" t="s">
        <v>679</v>
      </c>
      <c r="F39" s="8" t="s">
        <v>680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43.5" hidden="false" customHeight="true" outlineLevel="0" collapsed="false">
      <c r="A40" s="2" t="s">
        <v>681</v>
      </c>
      <c r="B40" s="8" t="s">
        <v>682</v>
      </c>
      <c r="C40" s="2" t="s">
        <v>523</v>
      </c>
      <c r="D40" s="8" t="s">
        <v>683</v>
      </c>
      <c r="E40" s="8" t="s">
        <v>684</v>
      </c>
      <c r="F40" s="8" t="s">
        <v>685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43.5" hidden="false" customHeight="true" outlineLevel="0" collapsed="false">
      <c r="A41" s="2" t="s">
        <v>686</v>
      </c>
      <c r="B41" s="8" t="s">
        <v>687</v>
      </c>
      <c r="C41" s="2" t="s">
        <v>523</v>
      </c>
      <c r="D41" s="8" t="s">
        <v>688</v>
      </c>
      <c r="E41" s="8" t="s">
        <v>689</v>
      </c>
      <c r="F41" s="8" t="s">
        <v>690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F1"/>
    <mergeCell ref="A2:F2"/>
  </mergeCells>
  <conditionalFormatting sqref="C6:C41">
    <cfRule type="containsText" priority="2" operator="containsText" aboveAverage="0" equalAverage="0" bottom="0" percent="0" rank="0" text="Approved" dxfId="13">
      <formula>NOT(ISERROR(SEARCH("Approved",C6)))</formula>
    </cfRule>
    <cfRule type="containsText" priority="3" operator="containsText" aboveAverage="0" equalAverage="0" bottom="0" percent="0" rank="0" text="Passed" dxfId="13">
      <formula>NOT(ISERROR(SEARCH("Passed",C6)))</formula>
    </cfRule>
    <cfRule type="containsText" priority="4" operator="containsText" aboveAverage="0" equalAverage="0" bottom="0" percent="0" rank="0" text="Released" dxfId="13">
      <formula>NOT(ISERROR(SEARCH("Released",C6)))</formula>
    </cfRule>
    <cfRule type="containsText" priority="5" operator="containsText" aboveAverage="0" equalAverage="0" bottom="0" percent="0" rank="0" text="Project Owner review" dxfId="1">
      <formula>NOT(ISERROR(SEARCH("Project Owner review",C6)))</formula>
    </cfRule>
    <cfRule type="containsText" priority="6" operator="containsText" aboveAverage="0" equalAverage="0" bottom="0" percent="0" rank="0" text="Pending" dxfId="14">
      <formula>NOT(ISERROR(SEARCH("Pending",C6)))</formula>
    </cfRule>
    <cfRule type="containsText" priority="7" operator="containsText" aboveAverage="0" equalAverage="0" bottom="0" percent="0" rank="0" text="Blocked" dxfId="0">
      <formula>NOT(ISERROR(SEARCH("Blocked",C6)))</formula>
    </cfRule>
    <cfRule type="containsText" priority="8" operator="containsText" aboveAverage="0" equalAverage="0" bottom="0" percent="0" rank="0" text="unresolved" dxfId="0">
      <formula>NOT(ISERROR(SEARCH("unresolved",C6)))</formula>
    </cfRule>
    <cfRule type="containsText" priority="9" operator="containsText" aboveAverage="0" equalAverage="0" bottom="0" percent="0" rank="0" text="Not started" dxfId="15">
      <formula>NOT(ISERROR(SEARCH("Not started",C6)))</formula>
    </cfRule>
    <cfRule type="containsText" priority="10" operator="containsText" aboveAverage="0" equalAverage="0" bottom="0" percent="0" rank="0" text="Not evidenced" dxfId="15">
      <formula>NOT(ISERROR(SEARCH("Not evidenced",C6)))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5" min="5" style="0" width="44"/>
    <col collapsed="false" customWidth="true" hidden="false" outlineLevel="0" max="6" min="6" style="0" width="38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38"/>
  </cols>
  <sheetData>
    <row r="1" customFormat="false" ht="37.5" hidden="false" customHeight="true" outlineLevel="0" collapsed="false">
      <c r="A1" s="1" t="s">
        <v>691</v>
      </c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3.75" hidden="false" customHeight="true" outlineLevel="0" collapsed="false">
      <c r="A2" s="3" t="s">
        <v>692</v>
      </c>
      <c r="B2" s="3"/>
      <c r="C2" s="3"/>
      <c r="D2" s="3"/>
      <c r="E2" s="3"/>
      <c r="F2" s="3"/>
      <c r="G2" s="3"/>
      <c r="H2" s="3"/>
      <c r="I2" s="3"/>
      <c r="J2" s="3"/>
      <c r="K2" s="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6" hidden="false" customHeight="true" outlineLevel="0" collapsed="false">
      <c r="A5" s="12" t="s">
        <v>693</v>
      </c>
      <c r="B5" s="12" t="s">
        <v>694</v>
      </c>
      <c r="C5" s="12" t="s">
        <v>695</v>
      </c>
      <c r="D5" s="12" t="s">
        <v>696</v>
      </c>
      <c r="E5" s="12" t="s">
        <v>697</v>
      </c>
      <c r="F5" s="12" t="s">
        <v>518</v>
      </c>
      <c r="G5" s="12" t="s">
        <v>124</v>
      </c>
      <c r="H5" s="12" t="s">
        <v>698</v>
      </c>
      <c r="I5" s="12" t="s">
        <v>127</v>
      </c>
      <c r="J5" s="12" t="s">
        <v>128</v>
      </c>
      <c r="K5" s="12" t="s">
        <v>699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43.5" hidden="false" customHeight="true" outlineLevel="0" collapsed="false">
      <c r="A6" s="2" t="s">
        <v>700</v>
      </c>
      <c r="B6" s="8" t="s">
        <v>188</v>
      </c>
      <c r="C6" s="8" t="s">
        <v>701</v>
      </c>
      <c r="D6" s="8" t="s">
        <v>702</v>
      </c>
      <c r="E6" s="8" t="s">
        <v>703</v>
      </c>
      <c r="F6" s="8" t="s">
        <v>441</v>
      </c>
      <c r="G6" s="8" t="s">
        <v>140</v>
      </c>
      <c r="H6" s="8" t="s">
        <v>144</v>
      </c>
      <c r="I6" s="8" t="s">
        <v>229</v>
      </c>
      <c r="J6" s="8" t="s">
        <v>229</v>
      </c>
      <c r="K6" s="8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43.5" hidden="false" customHeight="true" outlineLevel="0" collapsed="false">
      <c r="A7" s="2" t="s">
        <v>704</v>
      </c>
      <c r="B7" s="8" t="s">
        <v>217</v>
      </c>
      <c r="C7" s="8" t="s">
        <v>705</v>
      </c>
      <c r="D7" s="8" t="s">
        <v>706</v>
      </c>
      <c r="E7" s="8" t="s">
        <v>707</v>
      </c>
      <c r="F7" s="8" t="s">
        <v>708</v>
      </c>
      <c r="G7" s="8" t="s">
        <v>709</v>
      </c>
      <c r="H7" s="8" t="s">
        <v>144</v>
      </c>
      <c r="I7" s="8" t="s">
        <v>229</v>
      </c>
      <c r="J7" s="8" t="s">
        <v>229</v>
      </c>
      <c r="K7" s="8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43.5" hidden="false" customHeight="true" outlineLevel="0" collapsed="false">
      <c r="A8" s="2" t="s">
        <v>710</v>
      </c>
      <c r="B8" s="8" t="s">
        <v>217</v>
      </c>
      <c r="C8" s="8" t="s">
        <v>711</v>
      </c>
      <c r="D8" s="8" t="s">
        <v>712</v>
      </c>
      <c r="E8" s="8" t="s">
        <v>713</v>
      </c>
      <c r="F8" s="8" t="s">
        <v>714</v>
      </c>
      <c r="G8" s="8" t="s">
        <v>140</v>
      </c>
      <c r="H8" s="8" t="s">
        <v>144</v>
      </c>
      <c r="I8" s="8" t="s">
        <v>229</v>
      </c>
      <c r="J8" s="8" t="s">
        <v>229</v>
      </c>
      <c r="K8" s="8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43.5" hidden="false" customHeight="true" outlineLevel="0" collapsed="false">
      <c r="A9" s="2" t="s">
        <v>715</v>
      </c>
      <c r="B9" s="8" t="s">
        <v>217</v>
      </c>
      <c r="C9" s="8" t="s">
        <v>716</v>
      </c>
      <c r="D9" s="8" t="s">
        <v>717</v>
      </c>
      <c r="E9" s="8" t="s">
        <v>718</v>
      </c>
      <c r="F9" s="8" t="s">
        <v>714</v>
      </c>
      <c r="G9" s="8" t="s">
        <v>140</v>
      </c>
      <c r="H9" s="8" t="s">
        <v>144</v>
      </c>
      <c r="I9" s="8" t="s">
        <v>229</v>
      </c>
      <c r="J9" s="8" t="s">
        <v>229</v>
      </c>
      <c r="K9" s="8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43.5" hidden="false" customHeight="true" outlineLevel="0" collapsed="false">
      <c r="A10" s="2" t="s">
        <v>719</v>
      </c>
      <c r="B10" s="8" t="s">
        <v>217</v>
      </c>
      <c r="C10" s="8" t="s">
        <v>720</v>
      </c>
      <c r="D10" s="8" t="s">
        <v>721</v>
      </c>
      <c r="E10" s="8" t="s">
        <v>722</v>
      </c>
      <c r="F10" s="8" t="s">
        <v>714</v>
      </c>
      <c r="G10" s="8" t="s">
        <v>140</v>
      </c>
      <c r="H10" s="8" t="s">
        <v>144</v>
      </c>
      <c r="I10" s="8" t="s">
        <v>229</v>
      </c>
      <c r="J10" s="8" t="s">
        <v>209</v>
      </c>
      <c r="K10" s="8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43.5" hidden="false" customHeight="true" outlineLevel="0" collapsed="false">
      <c r="A11" s="2" t="s">
        <v>723</v>
      </c>
      <c r="B11" s="8" t="s">
        <v>196</v>
      </c>
      <c r="C11" s="8" t="s">
        <v>724</v>
      </c>
      <c r="D11" s="8" t="s">
        <v>725</v>
      </c>
      <c r="E11" s="8" t="s">
        <v>726</v>
      </c>
      <c r="F11" s="8" t="s">
        <v>435</v>
      </c>
      <c r="G11" s="8" t="s">
        <v>140</v>
      </c>
      <c r="H11" s="8" t="s">
        <v>144</v>
      </c>
      <c r="I11" s="8" t="s">
        <v>229</v>
      </c>
      <c r="J11" s="8" t="s">
        <v>229</v>
      </c>
      <c r="K11" s="8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43.5" hidden="false" customHeight="true" outlineLevel="0" collapsed="false">
      <c r="A12" s="2" t="s">
        <v>727</v>
      </c>
      <c r="B12" s="8" t="s">
        <v>196</v>
      </c>
      <c r="C12" s="8" t="s">
        <v>728</v>
      </c>
      <c r="D12" s="8" t="s">
        <v>729</v>
      </c>
      <c r="E12" s="8" t="s">
        <v>730</v>
      </c>
      <c r="F12" s="8" t="s">
        <v>731</v>
      </c>
      <c r="G12" s="8" t="s">
        <v>140</v>
      </c>
      <c r="H12" s="8" t="s">
        <v>144</v>
      </c>
      <c r="I12" s="8" t="s">
        <v>229</v>
      </c>
      <c r="J12" s="8" t="s">
        <v>229</v>
      </c>
      <c r="K12" s="8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43.5" hidden="false" customHeight="true" outlineLevel="0" collapsed="false">
      <c r="A13" s="2" t="s">
        <v>732</v>
      </c>
      <c r="B13" s="8" t="s">
        <v>196</v>
      </c>
      <c r="C13" s="8" t="s">
        <v>733</v>
      </c>
      <c r="D13" s="8" t="s">
        <v>734</v>
      </c>
      <c r="E13" s="8" t="s">
        <v>735</v>
      </c>
      <c r="F13" s="8" t="s">
        <v>736</v>
      </c>
      <c r="G13" s="8" t="s">
        <v>140</v>
      </c>
      <c r="H13" s="8" t="s">
        <v>144</v>
      </c>
      <c r="I13" s="8" t="s">
        <v>229</v>
      </c>
      <c r="J13" s="8" t="s">
        <v>229</v>
      </c>
      <c r="K13" s="8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43.5" hidden="false" customHeight="true" outlineLevel="0" collapsed="false">
      <c r="A14" s="2" t="s">
        <v>737</v>
      </c>
      <c r="B14" s="8" t="s">
        <v>196</v>
      </c>
      <c r="C14" s="8" t="s">
        <v>738</v>
      </c>
      <c r="D14" s="8" t="s">
        <v>739</v>
      </c>
      <c r="E14" s="8" t="s">
        <v>740</v>
      </c>
      <c r="F14" s="8" t="s">
        <v>474</v>
      </c>
      <c r="G14" s="8" t="s">
        <v>140</v>
      </c>
      <c r="H14" s="8" t="s">
        <v>280</v>
      </c>
      <c r="I14" s="8" t="s">
        <v>229</v>
      </c>
      <c r="J14" s="8" t="s">
        <v>229</v>
      </c>
      <c r="K14" s="8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43.5" hidden="false" customHeight="true" outlineLevel="0" collapsed="false">
      <c r="A15" s="2" t="s">
        <v>741</v>
      </c>
      <c r="B15" s="8" t="s">
        <v>196</v>
      </c>
      <c r="C15" s="8" t="s">
        <v>742</v>
      </c>
      <c r="D15" s="8" t="s">
        <v>743</v>
      </c>
      <c r="E15" s="8" t="s">
        <v>744</v>
      </c>
      <c r="F15" s="8" t="s">
        <v>474</v>
      </c>
      <c r="G15" s="8" t="s">
        <v>140</v>
      </c>
      <c r="H15" s="8" t="s">
        <v>144</v>
      </c>
      <c r="I15" s="8" t="s">
        <v>229</v>
      </c>
      <c r="J15" s="8" t="s">
        <v>229</v>
      </c>
      <c r="K15" s="8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43.5" hidden="false" customHeight="true" outlineLevel="0" collapsed="false">
      <c r="A16" s="2" t="s">
        <v>745</v>
      </c>
      <c r="B16" s="8" t="s">
        <v>746</v>
      </c>
      <c r="C16" s="8" t="s">
        <v>747</v>
      </c>
      <c r="D16" s="8" t="s">
        <v>748</v>
      </c>
      <c r="E16" s="8" t="s">
        <v>749</v>
      </c>
      <c r="F16" s="8" t="s">
        <v>474</v>
      </c>
      <c r="G16" s="8" t="s">
        <v>140</v>
      </c>
      <c r="H16" s="8" t="s">
        <v>144</v>
      </c>
      <c r="I16" s="8" t="s">
        <v>229</v>
      </c>
      <c r="J16" s="8" t="s">
        <v>229</v>
      </c>
      <c r="K16" s="8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43.5" hidden="false" customHeight="true" outlineLevel="0" collapsed="false">
      <c r="A17" s="2" t="s">
        <v>750</v>
      </c>
      <c r="B17" s="8" t="s">
        <v>751</v>
      </c>
      <c r="C17" s="8" t="s">
        <v>752</v>
      </c>
      <c r="D17" s="8" t="s">
        <v>753</v>
      </c>
      <c r="E17" s="8" t="s">
        <v>754</v>
      </c>
      <c r="F17" s="8" t="s">
        <v>484</v>
      </c>
      <c r="G17" s="8" t="s">
        <v>140</v>
      </c>
      <c r="H17" s="8" t="s">
        <v>144</v>
      </c>
      <c r="I17" s="8" t="s">
        <v>229</v>
      </c>
      <c r="J17" s="8" t="s">
        <v>229</v>
      </c>
      <c r="K17" s="8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43.5" hidden="false" customHeight="true" outlineLevel="0" collapsed="false">
      <c r="A18" s="2" t="s">
        <v>755</v>
      </c>
      <c r="B18" s="8" t="s">
        <v>751</v>
      </c>
      <c r="C18" s="8" t="s">
        <v>756</v>
      </c>
      <c r="D18" s="8" t="s">
        <v>757</v>
      </c>
      <c r="E18" s="8" t="s">
        <v>758</v>
      </c>
      <c r="F18" s="8" t="s">
        <v>759</v>
      </c>
      <c r="G18" s="8" t="s">
        <v>709</v>
      </c>
      <c r="H18" s="8" t="s">
        <v>144</v>
      </c>
      <c r="I18" s="8" t="s">
        <v>229</v>
      </c>
      <c r="J18" s="8" t="s">
        <v>229</v>
      </c>
      <c r="K18" s="8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43.5" hidden="false" customHeight="true" outlineLevel="0" collapsed="false">
      <c r="A19" s="2" t="s">
        <v>760</v>
      </c>
      <c r="B19" s="8" t="s">
        <v>761</v>
      </c>
      <c r="C19" s="8" t="s">
        <v>762</v>
      </c>
      <c r="D19" s="8" t="s">
        <v>763</v>
      </c>
      <c r="E19" s="8" t="s">
        <v>764</v>
      </c>
      <c r="F19" s="8" t="s">
        <v>484</v>
      </c>
      <c r="G19" s="8" t="s">
        <v>140</v>
      </c>
      <c r="H19" s="8" t="s">
        <v>144</v>
      </c>
      <c r="I19" s="8" t="s">
        <v>229</v>
      </c>
      <c r="J19" s="8" t="s">
        <v>229</v>
      </c>
      <c r="K19" s="8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43.5" hidden="false" customHeight="true" outlineLevel="0" collapsed="false">
      <c r="A20" s="2" t="s">
        <v>765</v>
      </c>
      <c r="B20" s="8" t="s">
        <v>761</v>
      </c>
      <c r="C20" s="8" t="s">
        <v>766</v>
      </c>
      <c r="D20" s="8" t="s">
        <v>767</v>
      </c>
      <c r="E20" s="8" t="s">
        <v>768</v>
      </c>
      <c r="F20" s="8" t="s">
        <v>769</v>
      </c>
      <c r="G20" s="8" t="s">
        <v>140</v>
      </c>
      <c r="H20" s="8" t="s">
        <v>144</v>
      </c>
      <c r="I20" s="8" t="s">
        <v>229</v>
      </c>
      <c r="J20" s="8" t="s">
        <v>229</v>
      </c>
      <c r="K20" s="8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43.5" hidden="false" customHeight="true" outlineLevel="0" collapsed="false">
      <c r="A21" s="2" t="s">
        <v>770</v>
      </c>
      <c r="B21" s="8" t="s">
        <v>761</v>
      </c>
      <c r="C21" s="8" t="s">
        <v>771</v>
      </c>
      <c r="D21" s="8" t="s">
        <v>772</v>
      </c>
      <c r="E21" s="8" t="s">
        <v>773</v>
      </c>
      <c r="F21" s="8" t="s">
        <v>484</v>
      </c>
      <c r="G21" s="8" t="s">
        <v>140</v>
      </c>
      <c r="H21" s="8" t="s">
        <v>144</v>
      </c>
      <c r="I21" s="8" t="s">
        <v>229</v>
      </c>
      <c r="J21" s="8" t="s">
        <v>229</v>
      </c>
      <c r="K21" s="8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43.5" hidden="false" customHeight="true" outlineLevel="0" collapsed="false">
      <c r="A22" s="2" t="s">
        <v>774</v>
      </c>
      <c r="B22" s="8" t="s">
        <v>761</v>
      </c>
      <c r="C22" s="8" t="s">
        <v>775</v>
      </c>
      <c r="D22" s="8" t="s">
        <v>776</v>
      </c>
      <c r="E22" s="8" t="s">
        <v>777</v>
      </c>
      <c r="F22" s="8" t="s">
        <v>484</v>
      </c>
      <c r="G22" s="8" t="s">
        <v>140</v>
      </c>
      <c r="H22" s="8" t="s">
        <v>144</v>
      </c>
      <c r="I22" s="8" t="s">
        <v>229</v>
      </c>
      <c r="J22" s="8" t="s">
        <v>229</v>
      </c>
      <c r="K22" s="8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43.5" hidden="false" customHeight="true" outlineLevel="0" collapsed="false">
      <c r="A23" s="2" t="s">
        <v>778</v>
      </c>
      <c r="B23" s="8" t="s">
        <v>450</v>
      </c>
      <c r="C23" s="8" t="s">
        <v>779</v>
      </c>
      <c r="D23" s="8" t="s">
        <v>780</v>
      </c>
      <c r="E23" s="8" t="s">
        <v>781</v>
      </c>
      <c r="F23" s="8" t="s">
        <v>782</v>
      </c>
      <c r="G23" s="8" t="s">
        <v>709</v>
      </c>
      <c r="H23" s="8" t="s">
        <v>144</v>
      </c>
      <c r="I23" s="8" t="s">
        <v>229</v>
      </c>
      <c r="J23" s="8" t="s">
        <v>229</v>
      </c>
      <c r="K23" s="8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43.5" hidden="false" customHeight="true" outlineLevel="0" collapsed="false">
      <c r="A24" s="2" t="s">
        <v>783</v>
      </c>
      <c r="B24" s="8" t="s">
        <v>450</v>
      </c>
      <c r="C24" s="8" t="s">
        <v>784</v>
      </c>
      <c r="D24" s="8" t="s">
        <v>785</v>
      </c>
      <c r="E24" s="8" t="s">
        <v>786</v>
      </c>
      <c r="F24" s="8" t="s">
        <v>769</v>
      </c>
      <c r="G24" s="8" t="s">
        <v>140</v>
      </c>
      <c r="H24" s="8" t="s">
        <v>144</v>
      </c>
      <c r="I24" s="8" t="s">
        <v>229</v>
      </c>
      <c r="J24" s="8" t="s">
        <v>229</v>
      </c>
      <c r="K24" s="8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43.5" hidden="false" customHeight="true" outlineLevel="0" collapsed="false">
      <c r="A25" s="2" t="s">
        <v>787</v>
      </c>
      <c r="B25" s="8" t="s">
        <v>450</v>
      </c>
      <c r="C25" s="8" t="s">
        <v>788</v>
      </c>
      <c r="D25" s="8" t="s">
        <v>789</v>
      </c>
      <c r="E25" s="8" t="s">
        <v>790</v>
      </c>
      <c r="F25" s="8" t="s">
        <v>769</v>
      </c>
      <c r="G25" s="8" t="s">
        <v>140</v>
      </c>
      <c r="H25" s="8" t="s">
        <v>144</v>
      </c>
      <c r="I25" s="8" t="s">
        <v>229</v>
      </c>
      <c r="J25" s="8" t="s">
        <v>229</v>
      </c>
      <c r="K25" s="8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43.5" hidden="false" customHeight="true" outlineLevel="0" collapsed="false">
      <c r="A26" s="2" t="s">
        <v>791</v>
      </c>
      <c r="B26" s="8" t="s">
        <v>450</v>
      </c>
      <c r="C26" s="8" t="s">
        <v>792</v>
      </c>
      <c r="D26" s="8" t="s">
        <v>793</v>
      </c>
      <c r="E26" s="8" t="s">
        <v>794</v>
      </c>
      <c r="F26" s="8" t="s">
        <v>484</v>
      </c>
      <c r="G26" s="8" t="s">
        <v>140</v>
      </c>
      <c r="H26" s="8" t="s">
        <v>144</v>
      </c>
      <c r="I26" s="8" t="s">
        <v>229</v>
      </c>
      <c r="J26" s="8" t="s">
        <v>229</v>
      </c>
      <c r="K26" s="8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43.5" hidden="false" customHeight="true" outlineLevel="0" collapsed="false">
      <c r="A27" s="2" t="s">
        <v>795</v>
      </c>
      <c r="B27" s="8" t="s">
        <v>796</v>
      </c>
      <c r="C27" s="8" t="s">
        <v>797</v>
      </c>
      <c r="D27" s="8" t="s">
        <v>798</v>
      </c>
      <c r="E27" s="8" t="s">
        <v>799</v>
      </c>
      <c r="F27" s="8" t="s">
        <v>800</v>
      </c>
      <c r="G27" s="8" t="s">
        <v>140</v>
      </c>
      <c r="H27" s="8" t="s">
        <v>144</v>
      </c>
      <c r="I27" s="8" t="s">
        <v>229</v>
      </c>
      <c r="J27" s="8" t="s">
        <v>209</v>
      </c>
      <c r="K27" s="8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43.5" hidden="false" customHeight="true" outlineLevel="0" collapsed="false">
      <c r="A28" s="2" t="s">
        <v>801</v>
      </c>
      <c r="B28" s="8" t="s">
        <v>796</v>
      </c>
      <c r="C28" s="8" t="s">
        <v>802</v>
      </c>
      <c r="D28" s="8" t="s">
        <v>803</v>
      </c>
      <c r="E28" s="8" t="s">
        <v>804</v>
      </c>
      <c r="F28" s="8" t="s">
        <v>805</v>
      </c>
      <c r="G28" s="8" t="s">
        <v>140</v>
      </c>
      <c r="H28" s="8" t="s">
        <v>144</v>
      </c>
      <c r="I28" s="8" t="s">
        <v>229</v>
      </c>
      <c r="J28" s="8" t="s">
        <v>229</v>
      </c>
      <c r="K28" s="8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43.5" hidden="false" customHeight="true" outlineLevel="0" collapsed="false">
      <c r="A29" s="2" t="s">
        <v>806</v>
      </c>
      <c r="B29" s="8" t="s">
        <v>129</v>
      </c>
      <c r="C29" s="8" t="s">
        <v>807</v>
      </c>
      <c r="D29" s="8" t="s">
        <v>808</v>
      </c>
      <c r="E29" s="8" t="s">
        <v>809</v>
      </c>
      <c r="F29" s="8" t="s">
        <v>810</v>
      </c>
      <c r="G29" s="8" t="s">
        <v>140</v>
      </c>
      <c r="H29" s="8" t="s">
        <v>144</v>
      </c>
      <c r="I29" s="8" t="s">
        <v>229</v>
      </c>
      <c r="J29" s="8" t="s">
        <v>229</v>
      </c>
      <c r="K29" s="8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43.5" hidden="false" customHeight="true" outlineLevel="0" collapsed="false">
      <c r="A30" s="2" t="s">
        <v>811</v>
      </c>
      <c r="B30" s="8" t="s">
        <v>217</v>
      </c>
      <c r="C30" s="8" t="s">
        <v>812</v>
      </c>
      <c r="D30" s="8" t="s">
        <v>813</v>
      </c>
      <c r="E30" s="8" t="s">
        <v>814</v>
      </c>
      <c r="F30" s="8" t="s">
        <v>815</v>
      </c>
      <c r="G30" s="8" t="s">
        <v>140</v>
      </c>
      <c r="H30" s="8" t="s">
        <v>144</v>
      </c>
      <c r="I30" s="8" t="s">
        <v>229</v>
      </c>
      <c r="J30" s="8" t="s">
        <v>229</v>
      </c>
      <c r="K30" s="8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43.5" hidden="false" customHeight="true" outlineLevel="0" collapsed="false">
      <c r="A31" s="2" t="s">
        <v>816</v>
      </c>
      <c r="B31" s="8" t="s">
        <v>217</v>
      </c>
      <c r="C31" s="8" t="s">
        <v>817</v>
      </c>
      <c r="D31" s="8" t="s">
        <v>818</v>
      </c>
      <c r="E31" s="8" t="s">
        <v>819</v>
      </c>
      <c r="F31" s="8" t="s">
        <v>447</v>
      </c>
      <c r="G31" s="8" t="s">
        <v>709</v>
      </c>
      <c r="H31" s="8" t="s">
        <v>144</v>
      </c>
      <c r="I31" s="8" t="s">
        <v>229</v>
      </c>
      <c r="J31" s="8" t="s">
        <v>229</v>
      </c>
      <c r="K31" s="8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43.5" hidden="false" customHeight="true" outlineLevel="0" collapsed="false">
      <c r="A32" s="2" t="s">
        <v>820</v>
      </c>
      <c r="B32" s="8" t="s">
        <v>217</v>
      </c>
      <c r="C32" s="8" t="s">
        <v>821</v>
      </c>
      <c r="D32" s="8" t="s">
        <v>822</v>
      </c>
      <c r="E32" s="8" t="s">
        <v>823</v>
      </c>
      <c r="F32" s="8" t="s">
        <v>824</v>
      </c>
      <c r="G32" s="8" t="s">
        <v>709</v>
      </c>
      <c r="H32" s="8" t="s">
        <v>280</v>
      </c>
      <c r="I32" s="8" t="s">
        <v>229</v>
      </c>
      <c r="J32" s="8" t="s">
        <v>229</v>
      </c>
      <c r="K32" s="8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43.5" hidden="false" customHeight="true" outlineLevel="0" collapsed="false">
      <c r="A33" s="2" t="s">
        <v>825</v>
      </c>
      <c r="B33" s="8" t="s">
        <v>826</v>
      </c>
      <c r="C33" s="8" t="s">
        <v>827</v>
      </c>
      <c r="D33" s="8" t="s">
        <v>828</v>
      </c>
      <c r="E33" s="8" t="s">
        <v>829</v>
      </c>
      <c r="F33" s="8" t="s">
        <v>447</v>
      </c>
      <c r="G33" s="8" t="s">
        <v>709</v>
      </c>
      <c r="H33" s="8" t="s">
        <v>144</v>
      </c>
      <c r="I33" s="8" t="s">
        <v>229</v>
      </c>
      <c r="J33" s="8" t="s">
        <v>229</v>
      </c>
      <c r="K33" s="8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43.5" hidden="false" customHeight="true" outlineLevel="0" collapsed="false">
      <c r="A34" s="2" t="s">
        <v>830</v>
      </c>
      <c r="B34" s="8" t="s">
        <v>196</v>
      </c>
      <c r="C34" s="8" t="s">
        <v>831</v>
      </c>
      <c r="D34" s="8" t="s">
        <v>832</v>
      </c>
      <c r="E34" s="8" t="s">
        <v>833</v>
      </c>
      <c r="F34" s="8" t="s">
        <v>731</v>
      </c>
      <c r="G34" s="8" t="s">
        <v>140</v>
      </c>
      <c r="H34" s="8" t="s">
        <v>144</v>
      </c>
      <c r="I34" s="8" t="s">
        <v>229</v>
      </c>
      <c r="J34" s="8" t="s">
        <v>229</v>
      </c>
      <c r="K34" s="8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43.5" hidden="false" customHeight="true" outlineLevel="0" collapsed="false">
      <c r="A35" s="2" t="s">
        <v>834</v>
      </c>
      <c r="B35" s="8" t="s">
        <v>196</v>
      </c>
      <c r="C35" s="8" t="s">
        <v>835</v>
      </c>
      <c r="D35" s="8" t="s">
        <v>836</v>
      </c>
      <c r="E35" s="8" t="s">
        <v>837</v>
      </c>
      <c r="F35" s="8" t="s">
        <v>731</v>
      </c>
      <c r="G35" s="8" t="s">
        <v>140</v>
      </c>
      <c r="H35" s="8" t="s">
        <v>144</v>
      </c>
      <c r="I35" s="8" t="s">
        <v>229</v>
      </c>
      <c r="J35" s="8" t="s">
        <v>229</v>
      </c>
      <c r="K35" s="8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43.5" hidden="false" customHeight="true" outlineLevel="0" collapsed="false">
      <c r="A36" s="2" t="s">
        <v>838</v>
      </c>
      <c r="B36" s="8" t="s">
        <v>169</v>
      </c>
      <c r="C36" s="8" t="s">
        <v>839</v>
      </c>
      <c r="D36" s="8" t="s">
        <v>840</v>
      </c>
      <c r="E36" s="8" t="s">
        <v>841</v>
      </c>
      <c r="F36" s="8" t="s">
        <v>842</v>
      </c>
      <c r="G36" s="8" t="s">
        <v>140</v>
      </c>
      <c r="H36" s="8" t="s">
        <v>144</v>
      </c>
      <c r="I36" s="8" t="s">
        <v>229</v>
      </c>
      <c r="J36" s="8" t="s">
        <v>229</v>
      </c>
      <c r="K36" s="8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43.5" hidden="false" customHeight="true" outlineLevel="0" collapsed="false">
      <c r="A37" s="2" t="s">
        <v>843</v>
      </c>
      <c r="B37" s="8" t="s">
        <v>152</v>
      </c>
      <c r="C37" s="8" t="s">
        <v>844</v>
      </c>
      <c r="D37" s="8" t="s">
        <v>845</v>
      </c>
      <c r="E37" s="8" t="s">
        <v>846</v>
      </c>
      <c r="F37" s="8" t="s">
        <v>847</v>
      </c>
      <c r="G37" s="8" t="s">
        <v>140</v>
      </c>
      <c r="H37" s="8" t="s">
        <v>280</v>
      </c>
      <c r="I37" s="8" t="s">
        <v>229</v>
      </c>
      <c r="J37" s="8" t="s">
        <v>229</v>
      </c>
      <c r="K37" s="8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43.5" hidden="false" customHeight="true" outlineLevel="0" collapsed="false">
      <c r="A38" s="2" t="s">
        <v>848</v>
      </c>
      <c r="B38" s="8" t="s">
        <v>849</v>
      </c>
      <c r="C38" s="8" t="s">
        <v>850</v>
      </c>
      <c r="D38" s="8" t="s">
        <v>851</v>
      </c>
      <c r="E38" s="8" t="s">
        <v>852</v>
      </c>
      <c r="F38" s="8" t="s">
        <v>853</v>
      </c>
      <c r="G38" s="8" t="s">
        <v>709</v>
      </c>
      <c r="H38" s="8" t="s">
        <v>144</v>
      </c>
      <c r="I38" s="8" t="s">
        <v>229</v>
      </c>
      <c r="J38" s="8" t="s">
        <v>229</v>
      </c>
      <c r="K38" s="8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43.5" hidden="false" customHeight="true" outlineLevel="0" collapsed="false">
      <c r="A39" s="2" t="s">
        <v>854</v>
      </c>
      <c r="B39" s="8" t="s">
        <v>855</v>
      </c>
      <c r="C39" s="8" t="s">
        <v>856</v>
      </c>
      <c r="D39" s="8" t="s">
        <v>857</v>
      </c>
      <c r="E39" s="8" t="s">
        <v>858</v>
      </c>
      <c r="F39" s="8" t="s">
        <v>859</v>
      </c>
      <c r="G39" s="8" t="s">
        <v>140</v>
      </c>
      <c r="H39" s="8" t="s">
        <v>144</v>
      </c>
      <c r="I39" s="8" t="s">
        <v>229</v>
      </c>
      <c r="J39" s="8" t="s">
        <v>229</v>
      </c>
      <c r="K39" s="8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43.5" hidden="false" customHeight="true" outlineLevel="0" collapsed="false">
      <c r="A40" s="2" t="s">
        <v>860</v>
      </c>
      <c r="B40" s="8" t="s">
        <v>861</v>
      </c>
      <c r="C40" s="8" t="s">
        <v>862</v>
      </c>
      <c r="D40" s="8" t="s">
        <v>863</v>
      </c>
      <c r="E40" s="8" t="s">
        <v>864</v>
      </c>
      <c r="F40" s="8" t="s">
        <v>865</v>
      </c>
      <c r="G40" s="8" t="s">
        <v>866</v>
      </c>
      <c r="H40" s="8" t="s">
        <v>144</v>
      </c>
      <c r="I40" s="8" t="s">
        <v>229</v>
      </c>
      <c r="J40" s="8" t="s">
        <v>209</v>
      </c>
      <c r="K40" s="8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43.5" hidden="false" customHeight="true" outlineLevel="0" collapsed="false">
      <c r="A41" s="2" t="s">
        <v>867</v>
      </c>
      <c r="B41" s="8" t="s">
        <v>868</v>
      </c>
      <c r="C41" s="8" t="s">
        <v>869</v>
      </c>
      <c r="D41" s="8" t="s">
        <v>870</v>
      </c>
      <c r="E41" s="8" t="s">
        <v>871</v>
      </c>
      <c r="F41" s="8" t="s">
        <v>872</v>
      </c>
      <c r="G41" s="8" t="s">
        <v>140</v>
      </c>
      <c r="H41" s="8" t="s">
        <v>144</v>
      </c>
      <c r="I41" s="8" t="s">
        <v>229</v>
      </c>
      <c r="J41" s="8" t="s">
        <v>229</v>
      </c>
      <c r="K41" s="8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43.5" hidden="false" customHeight="true" outlineLevel="0" collapsed="false">
      <c r="A42" s="2" t="s">
        <v>873</v>
      </c>
      <c r="B42" s="8" t="s">
        <v>874</v>
      </c>
      <c r="C42" s="8" t="s">
        <v>875</v>
      </c>
      <c r="D42" s="8" t="s">
        <v>876</v>
      </c>
      <c r="E42" s="8" t="s">
        <v>877</v>
      </c>
      <c r="F42" s="8" t="s">
        <v>470</v>
      </c>
      <c r="G42" s="8" t="s">
        <v>140</v>
      </c>
      <c r="H42" s="8" t="s">
        <v>144</v>
      </c>
      <c r="I42" s="8" t="s">
        <v>229</v>
      </c>
      <c r="J42" s="8" t="s">
        <v>229</v>
      </c>
      <c r="K42" s="8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43.5" hidden="false" customHeight="true" outlineLevel="0" collapsed="false">
      <c r="A43" s="2" t="s">
        <v>878</v>
      </c>
      <c r="B43" s="8" t="s">
        <v>796</v>
      </c>
      <c r="C43" s="8" t="s">
        <v>879</v>
      </c>
      <c r="D43" s="8" t="s">
        <v>880</v>
      </c>
      <c r="E43" s="8" t="s">
        <v>881</v>
      </c>
      <c r="F43" s="8" t="s">
        <v>882</v>
      </c>
      <c r="G43" s="8" t="s">
        <v>140</v>
      </c>
      <c r="H43" s="8" t="s">
        <v>144</v>
      </c>
      <c r="I43" s="8" t="s">
        <v>229</v>
      </c>
      <c r="J43" s="8" t="s">
        <v>229</v>
      </c>
      <c r="K43" s="8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43.5" hidden="false" customHeight="true" outlineLevel="0" collapsed="false">
      <c r="A44" s="2" t="s">
        <v>883</v>
      </c>
      <c r="B44" s="8" t="s">
        <v>884</v>
      </c>
      <c r="C44" s="8" t="s">
        <v>885</v>
      </c>
      <c r="D44" s="8" t="s">
        <v>886</v>
      </c>
      <c r="E44" s="8" t="s">
        <v>887</v>
      </c>
      <c r="F44" s="8" t="s">
        <v>888</v>
      </c>
      <c r="G44" s="8" t="s">
        <v>140</v>
      </c>
      <c r="H44" s="8" t="s">
        <v>144</v>
      </c>
      <c r="I44" s="8" t="s">
        <v>229</v>
      </c>
      <c r="J44" s="8" t="s">
        <v>229</v>
      </c>
      <c r="K44" s="8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43.5" hidden="false" customHeight="true" outlineLevel="0" collapsed="false">
      <c r="A45" s="2" t="s">
        <v>889</v>
      </c>
      <c r="B45" s="8" t="s">
        <v>890</v>
      </c>
      <c r="C45" s="8" t="s">
        <v>891</v>
      </c>
      <c r="D45" s="8" t="s">
        <v>892</v>
      </c>
      <c r="E45" s="8" t="s">
        <v>893</v>
      </c>
      <c r="F45" s="8" t="s">
        <v>470</v>
      </c>
      <c r="G45" s="8" t="s">
        <v>140</v>
      </c>
      <c r="H45" s="8" t="s">
        <v>280</v>
      </c>
      <c r="I45" s="8" t="s">
        <v>229</v>
      </c>
      <c r="J45" s="8" t="s">
        <v>229</v>
      </c>
      <c r="K45" s="8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43.5" hidden="false" customHeight="true" outlineLevel="0" collapsed="false">
      <c r="A46" s="2" t="s">
        <v>894</v>
      </c>
      <c r="B46" s="8" t="s">
        <v>169</v>
      </c>
      <c r="C46" s="8" t="s">
        <v>895</v>
      </c>
      <c r="D46" s="8" t="s">
        <v>896</v>
      </c>
      <c r="E46" s="8" t="s">
        <v>897</v>
      </c>
      <c r="F46" s="8" t="s">
        <v>898</v>
      </c>
      <c r="G46" s="8" t="s">
        <v>140</v>
      </c>
      <c r="H46" s="8" t="s">
        <v>144</v>
      </c>
      <c r="I46" s="8" t="s">
        <v>229</v>
      </c>
      <c r="J46" s="8" t="s">
        <v>229</v>
      </c>
      <c r="K46" s="8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43.5" hidden="false" customHeight="true" outlineLevel="0" collapsed="false">
      <c r="A47" s="2" t="s">
        <v>899</v>
      </c>
      <c r="B47" s="8" t="s">
        <v>900</v>
      </c>
      <c r="C47" s="8" t="s">
        <v>901</v>
      </c>
      <c r="D47" s="8" t="s">
        <v>902</v>
      </c>
      <c r="E47" s="8" t="s">
        <v>903</v>
      </c>
      <c r="F47" s="8" t="s">
        <v>460</v>
      </c>
      <c r="G47" s="8" t="s">
        <v>140</v>
      </c>
      <c r="H47" s="8" t="s">
        <v>144</v>
      </c>
      <c r="I47" s="8" t="s">
        <v>229</v>
      </c>
      <c r="J47" s="8" t="s">
        <v>229</v>
      </c>
      <c r="K47" s="8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43.5" hidden="false" customHeight="true" outlineLevel="0" collapsed="false">
      <c r="A48" s="2" t="s">
        <v>904</v>
      </c>
      <c r="B48" s="8" t="s">
        <v>152</v>
      </c>
      <c r="C48" s="8" t="s">
        <v>905</v>
      </c>
      <c r="D48" s="8" t="s">
        <v>906</v>
      </c>
      <c r="E48" s="8" t="s">
        <v>907</v>
      </c>
      <c r="F48" s="8" t="s">
        <v>423</v>
      </c>
      <c r="G48" s="8" t="s">
        <v>140</v>
      </c>
      <c r="H48" s="8" t="s">
        <v>144</v>
      </c>
      <c r="I48" s="8" t="s">
        <v>229</v>
      </c>
      <c r="J48" s="8" t="s">
        <v>229</v>
      </c>
      <c r="K48" s="8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43.5" hidden="false" customHeight="true" outlineLevel="0" collapsed="false">
      <c r="A49" s="2" t="s">
        <v>908</v>
      </c>
      <c r="B49" s="8" t="s">
        <v>179</v>
      </c>
      <c r="C49" s="8" t="s">
        <v>909</v>
      </c>
      <c r="D49" s="8" t="s">
        <v>910</v>
      </c>
      <c r="E49" s="8" t="s">
        <v>911</v>
      </c>
      <c r="F49" s="8" t="s">
        <v>912</v>
      </c>
      <c r="G49" s="8" t="s">
        <v>140</v>
      </c>
      <c r="H49" s="8" t="s">
        <v>144</v>
      </c>
      <c r="I49" s="8" t="s">
        <v>229</v>
      </c>
      <c r="J49" s="8" t="s">
        <v>229</v>
      </c>
      <c r="K49" s="8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43.5" hidden="false" customHeight="true" outlineLevel="0" collapsed="false">
      <c r="A50" s="2" t="s">
        <v>913</v>
      </c>
      <c r="B50" s="8" t="s">
        <v>371</v>
      </c>
      <c r="C50" s="8" t="s">
        <v>914</v>
      </c>
      <c r="D50" s="8" t="s">
        <v>915</v>
      </c>
      <c r="E50" s="8" t="s">
        <v>916</v>
      </c>
      <c r="F50" s="8" t="s">
        <v>917</v>
      </c>
      <c r="G50" s="8" t="s">
        <v>140</v>
      </c>
      <c r="H50" s="8" t="s">
        <v>144</v>
      </c>
      <c r="I50" s="8" t="s">
        <v>229</v>
      </c>
      <c r="J50" s="8" t="s">
        <v>229</v>
      </c>
      <c r="K50" s="8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43.5" hidden="false" customHeight="true" outlineLevel="0" collapsed="false">
      <c r="A51" s="2" t="s">
        <v>918</v>
      </c>
      <c r="B51" s="8" t="s">
        <v>919</v>
      </c>
      <c r="C51" s="8" t="s">
        <v>920</v>
      </c>
      <c r="D51" s="8" t="s">
        <v>921</v>
      </c>
      <c r="E51" s="8" t="s">
        <v>922</v>
      </c>
      <c r="F51" s="8" t="s">
        <v>474</v>
      </c>
      <c r="G51" s="8" t="s">
        <v>140</v>
      </c>
      <c r="H51" s="8" t="s">
        <v>144</v>
      </c>
      <c r="I51" s="8" t="s">
        <v>229</v>
      </c>
      <c r="J51" s="8" t="s">
        <v>229</v>
      </c>
      <c r="K51" s="8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43.5" hidden="false" customHeight="true" outlineLevel="0" collapsed="false">
      <c r="A52" s="2" t="s">
        <v>923</v>
      </c>
      <c r="B52" s="8" t="s">
        <v>402</v>
      </c>
      <c r="C52" s="8" t="s">
        <v>924</v>
      </c>
      <c r="D52" s="8" t="s">
        <v>925</v>
      </c>
      <c r="E52" s="8" t="s">
        <v>926</v>
      </c>
      <c r="F52" s="8" t="s">
        <v>927</v>
      </c>
      <c r="G52" s="8" t="s">
        <v>140</v>
      </c>
      <c r="H52" s="8" t="s">
        <v>144</v>
      </c>
      <c r="I52" s="8" t="s">
        <v>208</v>
      </c>
      <c r="J52" s="8" t="s">
        <v>209</v>
      </c>
      <c r="K52" s="8" t="s">
        <v>928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43.5" hidden="false" customHeight="true" outlineLevel="0" collapsed="false">
      <c r="A53" s="2" t="s">
        <v>929</v>
      </c>
      <c r="B53" s="8" t="s">
        <v>217</v>
      </c>
      <c r="C53" s="8" t="s">
        <v>930</v>
      </c>
      <c r="D53" s="8" t="s">
        <v>931</v>
      </c>
      <c r="E53" s="8" t="s">
        <v>932</v>
      </c>
      <c r="F53" s="8" t="s">
        <v>933</v>
      </c>
      <c r="G53" s="8" t="s">
        <v>934</v>
      </c>
      <c r="H53" s="8" t="s">
        <v>144</v>
      </c>
      <c r="I53" s="8" t="s">
        <v>229</v>
      </c>
      <c r="J53" s="8" t="s">
        <v>229</v>
      </c>
      <c r="K53" s="8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43.5" hidden="false" customHeight="true" outlineLevel="0" collapsed="false">
      <c r="A54" s="2" t="s">
        <v>935</v>
      </c>
      <c r="B54" s="8" t="s">
        <v>936</v>
      </c>
      <c r="C54" s="8" t="s">
        <v>937</v>
      </c>
      <c r="D54" s="8" t="s">
        <v>938</v>
      </c>
      <c r="E54" s="8" t="s">
        <v>939</v>
      </c>
      <c r="F54" s="8" t="s">
        <v>940</v>
      </c>
      <c r="G54" s="8" t="s">
        <v>934</v>
      </c>
      <c r="H54" s="8" t="s">
        <v>144</v>
      </c>
      <c r="I54" s="8" t="s">
        <v>229</v>
      </c>
      <c r="J54" s="8" t="s">
        <v>229</v>
      </c>
      <c r="K54" s="8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43.5" hidden="false" customHeight="true" outlineLevel="0" collapsed="false">
      <c r="A55" s="2" t="s">
        <v>941</v>
      </c>
      <c r="B55" s="8" t="s">
        <v>509</v>
      </c>
      <c r="C55" s="8" t="s">
        <v>942</v>
      </c>
      <c r="D55" s="8" t="s">
        <v>943</v>
      </c>
      <c r="E55" s="8" t="s">
        <v>944</v>
      </c>
      <c r="F55" s="8" t="s">
        <v>512</v>
      </c>
      <c r="G55" s="8" t="s">
        <v>945</v>
      </c>
      <c r="H55" s="8" t="s">
        <v>280</v>
      </c>
      <c r="I55" s="8" t="s">
        <v>229</v>
      </c>
      <c r="J55" s="8" t="s">
        <v>229</v>
      </c>
      <c r="K55" s="8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K1"/>
    <mergeCell ref="A2:K2"/>
  </mergeCells>
  <conditionalFormatting sqref="G6:G55">
    <cfRule type="containsText" priority="2" operator="containsText" aboveAverage="0" equalAverage="0" bottom="0" percent="0" rank="0" text="Approved" dxfId="13">
      <formula>NOT(ISERROR(SEARCH("Approved",G6)))</formula>
    </cfRule>
    <cfRule type="containsText" priority="3" operator="containsText" aboveAverage="0" equalAverage="0" bottom="0" percent="0" rank="0" text="Passed" dxfId="13">
      <formula>NOT(ISERROR(SEARCH("Passed",G6)))</formula>
    </cfRule>
    <cfRule type="containsText" priority="4" operator="containsText" aboveAverage="0" equalAverage="0" bottom="0" percent="0" rank="0" text="Released" dxfId="13">
      <formula>NOT(ISERROR(SEARCH("Released",G6)))</formula>
    </cfRule>
    <cfRule type="containsText" priority="5" operator="containsText" aboveAverage="0" equalAverage="0" bottom="0" percent="0" rank="0" text="Project Owner review" dxfId="1">
      <formula>NOT(ISERROR(SEARCH("Project Owner review",G6)))</formula>
    </cfRule>
    <cfRule type="containsText" priority="6" operator="containsText" aboveAverage="0" equalAverage="0" bottom="0" percent="0" rank="0" text="Pending" dxfId="14">
      <formula>NOT(ISERROR(SEARCH("Pending",G6)))</formula>
    </cfRule>
    <cfRule type="containsText" priority="7" operator="containsText" aboveAverage="0" equalAverage="0" bottom="0" percent="0" rank="0" text="Blocked" dxfId="0">
      <formula>NOT(ISERROR(SEARCH("Blocked",G6)))</formula>
    </cfRule>
    <cfRule type="containsText" priority="8" operator="containsText" aboveAverage="0" equalAverage="0" bottom="0" percent="0" rank="0" text="unresolved" dxfId="0">
      <formula>NOT(ISERROR(SEARCH("unresolved",G6)))</formula>
    </cfRule>
    <cfRule type="containsText" priority="9" operator="containsText" aboveAverage="0" equalAverage="0" bottom="0" percent="0" rank="0" text="Not started" dxfId="15">
      <formula>NOT(ISERROR(SEARCH("Not started",G6)))</formula>
    </cfRule>
    <cfRule type="containsText" priority="10" operator="containsText" aboveAverage="0" equalAverage="0" bottom="0" percent="0" rank="0" text="Not evidenced" dxfId="15">
      <formula>NOT(ISERROR(SEARCH("Not evidenced",G6)))</formula>
    </cfRule>
  </conditionalFormatting>
  <conditionalFormatting sqref="I6:I55">
    <cfRule type="containsText" priority="11" operator="containsText" aboveAverage="0" equalAverage="0" bottom="0" percent="0" rank="0" text="Approved" dxfId="13">
      <formula>NOT(ISERROR(SEARCH("Approved",I6)))</formula>
    </cfRule>
    <cfRule type="containsText" priority="12" operator="containsText" aboveAverage="0" equalAverage="0" bottom="0" percent="0" rank="0" text="Passed" dxfId="13">
      <formula>NOT(ISERROR(SEARCH("Passed",I6)))</formula>
    </cfRule>
    <cfRule type="containsText" priority="13" operator="containsText" aboveAverage="0" equalAverage="0" bottom="0" percent="0" rank="0" text="Released" dxfId="13">
      <formula>NOT(ISERROR(SEARCH("Released",I6)))</formula>
    </cfRule>
    <cfRule type="containsText" priority="14" operator="containsText" aboveAverage="0" equalAverage="0" bottom="0" percent="0" rank="0" text="Project Owner review" dxfId="1">
      <formula>NOT(ISERROR(SEARCH("Project Owner review",I6)))</formula>
    </cfRule>
    <cfRule type="containsText" priority="15" operator="containsText" aboveAverage="0" equalAverage="0" bottom="0" percent="0" rank="0" text="Pending" dxfId="14">
      <formula>NOT(ISERROR(SEARCH("Pending",I6)))</formula>
    </cfRule>
    <cfRule type="containsText" priority="16" operator="containsText" aboveAverage="0" equalAverage="0" bottom="0" percent="0" rank="0" text="Blocked" dxfId="0">
      <formula>NOT(ISERROR(SEARCH("Blocked",I6)))</formula>
    </cfRule>
    <cfRule type="containsText" priority="17" operator="containsText" aboveAverage="0" equalAverage="0" bottom="0" percent="0" rank="0" text="unresolved" dxfId="0">
      <formula>NOT(ISERROR(SEARCH("unresolved",I6)))</formula>
    </cfRule>
    <cfRule type="containsText" priority="18" operator="containsText" aboveAverage="0" equalAverage="0" bottom="0" percent="0" rank="0" text="Not started" dxfId="15">
      <formula>NOT(ISERROR(SEARCH("Not started",I6)))</formula>
    </cfRule>
    <cfRule type="containsText" priority="19" operator="containsText" aboveAverage="0" equalAverage="0" bottom="0" percent="0" rank="0" text="Not evidenced" dxfId="15">
      <formula>NOT(ISERROR(SEARCH("Not evidenced",I6)))</formula>
    </cfRule>
  </conditionalFormatting>
  <conditionalFormatting sqref="J6:J55">
    <cfRule type="containsText" priority="20" operator="containsText" aboveAverage="0" equalAverage="0" bottom="0" percent="0" rank="0" text="Approved" dxfId="13">
      <formula>NOT(ISERROR(SEARCH("Approved",J6)))</formula>
    </cfRule>
    <cfRule type="containsText" priority="21" operator="containsText" aboveAverage="0" equalAverage="0" bottom="0" percent="0" rank="0" text="Passed" dxfId="13">
      <formula>NOT(ISERROR(SEARCH("Passed",J6)))</formula>
    </cfRule>
    <cfRule type="containsText" priority="22" operator="containsText" aboveAverage="0" equalAverage="0" bottom="0" percent="0" rank="0" text="Released" dxfId="13">
      <formula>NOT(ISERROR(SEARCH("Released",J6)))</formula>
    </cfRule>
    <cfRule type="containsText" priority="23" operator="containsText" aboveAverage="0" equalAverage="0" bottom="0" percent="0" rank="0" text="Project Owner review" dxfId="1">
      <formula>NOT(ISERROR(SEARCH("Project Owner review",J6)))</formula>
    </cfRule>
    <cfRule type="containsText" priority="24" operator="containsText" aboveAverage="0" equalAverage="0" bottom="0" percent="0" rank="0" text="Pending" dxfId="14">
      <formula>NOT(ISERROR(SEARCH("Pending",J6)))</formula>
    </cfRule>
    <cfRule type="containsText" priority="25" operator="containsText" aboveAverage="0" equalAverage="0" bottom="0" percent="0" rank="0" text="Blocked" dxfId="0">
      <formula>NOT(ISERROR(SEARCH("Blocked",J6)))</formula>
    </cfRule>
    <cfRule type="containsText" priority="26" operator="containsText" aboveAverage="0" equalAverage="0" bottom="0" percent="0" rank="0" text="unresolved" dxfId="0">
      <formula>NOT(ISERROR(SEARCH("unresolved",J6)))</formula>
    </cfRule>
    <cfRule type="containsText" priority="27" operator="containsText" aboveAverage="0" equalAverage="0" bottom="0" percent="0" rank="0" text="Not started" dxfId="15">
      <formula>NOT(ISERROR(SEARCH("Not started",J6)))</formula>
    </cfRule>
    <cfRule type="containsText" priority="28" operator="containsText" aboveAverage="0" equalAverage="0" bottom="0" percent="0" rank="0" text="Not evidenced" dxfId="15">
      <formula>NOT(ISERROR(SEARCH("Not evidenced",J6)))</formula>
    </cfRule>
  </conditionalFormatting>
  <dataValidations count="2">
    <dataValidation allowBlank="false" errorStyle="stop" operator="between" showDropDown="false" showErrorMessage="false" showInputMessage="false" sqref="I6:I55" type="list">
      <formula1>"Not started,Planned,In progress,Implemented,Not evidenced,Not applicable"</formula1>
      <formula2>0</formula2>
    </dataValidation>
    <dataValidation allowBlank="false" errorStyle="stop" operator="between" showDropDown="false" showErrorMessage="false" showInputMessage="false" sqref="J6:J55" type="list">
      <formula1>"Not started,Not evidenced,Pending,Passed,Failed,Not applicable"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1"/>
    <col collapsed="false" customWidth="true" hidden="false" outlineLevel="0" max="3" min="3" style="0" width="18"/>
    <col collapsed="false" customWidth="true" hidden="false" outlineLevel="0" max="4" min="4" style="0" width="38"/>
    <col collapsed="false" customWidth="true" hidden="false" outlineLevel="0" max="5" min="5" style="0" width="14"/>
    <col collapsed="false" customWidth="true" hidden="false" outlineLevel="0" max="6" min="6" style="0" width="48"/>
    <col collapsed="false" customWidth="true" hidden="false" outlineLevel="0" max="7" min="7" style="0" width="44"/>
  </cols>
  <sheetData>
    <row r="1" customFormat="false" ht="37.5" hidden="false" customHeight="true" outlineLevel="0" collapsed="false">
      <c r="A1" s="1" t="s">
        <v>946</v>
      </c>
      <c r="B1" s="1"/>
      <c r="C1" s="1"/>
      <c r="D1" s="1"/>
      <c r="E1" s="1"/>
      <c r="F1" s="1"/>
      <c r="G1" s="1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3.75" hidden="false" customHeight="true" outlineLevel="0" collapsed="false">
      <c r="A2" s="3" t="s">
        <v>947</v>
      </c>
      <c r="B2" s="3"/>
      <c r="C2" s="3"/>
      <c r="D2" s="3"/>
      <c r="E2" s="3"/>
      <c r="F2" s="3"/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6" hidden="false" customHeight="true" outlineLevel="0" collapsed="false">
      <c r="A5" s="12" t="s">
        <v>948</v>
      </c>
      <c r="B5" s="12" t="s">
        <v>949</v>
      </c>
      <c r="C5" s="12" t="s">
        <v>950</v>
      </c>
      <c r="D5" s="12" t="s">
        <v>951</v>
      </c>
      <c r="E5" s="12" t="s">
        <v>14</v>
      </c>
      <c r="F5" s="12" t="s">
        <v>952</v>
      </c>
      <c r="G5" s="12" t="s">
        <v>953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43.5" hidden="false" customHeight="true" outlineLevel="0" collapsed="false">
      <c r="A6" s="2" t="s">
        <v>954</v>
      </c>
      <c r="B6" s="8" t="s">
        <v>379</v>
      </c>
      <c r="C6" s="8" t="s">
        <v>955</v>
      </c>
      <c r="D6" s="8" t="s">
        <v>956</v>
      </c>
      <c r="E6" s="8" t="s">
        <v>190</v>
      </c>
      <c r="F6" s="8" t="s">
        <v>957</v>
      </c>
      <c r="G6" s="8" t="s">
        <v>958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43.5" hidden="false" customHeight="true" outlineLevel="0" collapsed="false">
      <c r="A7" s="2" t="s">
        <v>959</v>
      </c>
      <c r="B7" s="8" t="s">
        <v>960</v>
      </c>
      <c r="C7" s="8" t="s">
        <v>955</v>
      </c>
      <c r="D7" s="8" t="s">
        <v>961</v>
      </c>
      <c r="E7" s="8" t="s">
        <v>190</v>
      </c>
      <c r="F7" s="8" t="s">
        <v>962</v>
      </c>
      <c r="G7" s="8" t="s">
        <v>963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43.5" hidden="false" customHeight="true" outlineLevel="0" collapsed="false">
      <c r="A8" s="2" t="s">
        <v>964</v>
      </c>
      <c r="B8" s="8" t="s">
        <v>965</v>
      </c>
      <c r="C8" s="8" t="s">
        <v>966</v>
      </c>
      <c r="D8" s="8" t="s">
        <v>967</v>
      </c>
      <c r="E8" s="8" t="s">
        <v>190</v>
      </c>
      <c r="F8" s="8" t="s">
        <v>968</v>
      </c>
      <c r="G8" s="8" t="s">
        <v>969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43.5" hidden="false" customHeight="true" outlineLevel="0" collapsed="false">
      <c r="A9" s="2" t="s">
        <v>970</v>
      </c>
      <c r="B9" s="8" t="s">
        <v>971</v>
      </c>
      <c r="C9" s="8" t="s">
        <v>966</v>
      </c>
      <c r="D9" s="8" t="s">
        <v>972</v>
      </c>
      <c r="E9" s="8" t="s">
        <v>190</v>
      </c>
      <c r="F9" s="8" t="s">
        <v>973</v>
      </c>
      <c r="G9" s="8" t="s">
        <v>974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43.5" hidden="false" customHeight="true" outlineLevel="0" collapsed="false">
      <c r="A10" s="2" t="s">
        <v>975</v>
      </c>
      <c r="B10" s="8" t="s">
        <v>976</v>
      </c>
      <c r="C10" s="8" t="s">
        <v>966</v>
      </c>
      <c r="D10" s="8" t="s">
        <v>977</v>
      </c>
      <c r="E10" s="8" t="s">
        <v>190</v>
      </c>
      <c r="F10" s="8" t="s">
        <v>978</v>
      </c>
      <c r="G10" s="8" t="s">
        <v>979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43.5" hidden="false" customHeight="true" outlineLevel="0" collapsed="false">
      <c r="A11" s="2" t="s">
        <v>980</v>
      </c>
      <c r="B11" s="8" t="s">
        <v>981</v>
      </c>
      <c r="C11" s="8" t="s">
        <v>966</v>
      </c>
      <c r="D11" s="8" t="s">
        <v>982</v>
      </c>
      <c r="E11" s="8" t="s">
        <v>190</v>
      </c>
      <c r="F11" s="8" t="s">
        <v>983</v>
      </c>
      <c r="G11" s="8" t="s">
        <v>984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43.5" hidden="false" customHeight="true" outlineLevel="0" collapsed="false">
      <c r="A12" s="2" t="s">
        <v>985</v>
      </c>
      <c r="B12" s="8" t="s">
        <v>986</v>
      </c>
      <c r="C12" s="8" t="s">
        <v>966</v>
      </c>
      <c r="D12" s="8" t="s">
        <v>987</v>
      </c>
      <c r="E12" s="8" t="s">
        <v>190</v>
      </c>
      <c r="F12" s="8" t="s">
        <v>988</v>
      </c>
      <c r="G12" s="8" t="s">
        <v>989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43.5" hidden="false" customHeight="true" outlineLevel="0" collapsed="false">
      <c r="A13" s="2" t="s">
        <v>990</v>
      </c>
      <c r="B13" s="8" t="s">
        <v>991</v>
      </c>
      <c r="C13" s="8" t="s">
        <v>966</v>
      </c>
      <c r="D13" s="8" t="s">
        <v>992</v>
      </c>
      <c r="E13" s="8" t="s">
        <v>190</v>
      </c>
      <c r="F13" s="8" t="s">
        <v>993</v>
      </c>
      <c r="G13" s="8" t="s">
        <v>994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43.5" hidden="false" customHeight="true" outlineLevel="0" collapsed="false">
      <c r="A14" s="2" t="s">
        <v>995</v>
      </c>
      <c r="B14" s="8" t="s">
        <v>996</v>
      </c>
      <c r="C14" s="8" t="s">
        <v>966</v>
      </c>
      <c r="D14" s="8" t="s">
        <v>997</v>
      </c>
      <c r="E14" s="8" t="s">
        <v>190</v>
      </c>
      <c r="F14" s="8" t="s">
        <v>998</v>
      </c>
      <c r="G14" s="8" t="s">
        <v>999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43.5" hidden="false" customHeight="true" outlineLevel="0" collapsed="false">
      <c r="A15" s="2" t="s">
        <v>1000</v>
      </c>
      <c r="B15" s="8" t="s">
        <v>1001</v>
      </c>
      <c r="C15" s="8" t="s">
        <v>1002</v>
      </c>
      <c r="D15" s="8" t="s">
        <v>1003</v>
      </c>
      <c r="E15" s="8" t="s">
        <v>190</v>
      </c>
      <c r="F15" s="8" t="s">
        <v>1004</v>
      </c>
      <c r="G15" s="8" t="s">
        <v>1005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43.5" hidden="false" customHeight="true" outlineLevel="0" collapsed="false">
      <c r="A16" s="2" t="s">
        <v>1006</v>
      </c>
      <c r="B16" s="8" t="s">
        <v>1007</v>
      </c>
      <c r="C16" s="8" t="s">
        <v>1008</v>
      </c>
      <c r="D16" s="8" t="s">
        <v>1009</v>
      </c>
      <c r="E16" s="8" t="s">
        <v>1010</v>
      </c>
      <c r="F16" s="8" t="s">
        <v>1011</v>
      </c>
      <c r="G16" s="8" t="s">
        <v>1012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43.5" hidden="false" customHeight="true" outlineLevel="0" collapsed="false">
      <c r="A17" s="2" t="s">
        <v>1013</v>
      </c>
      <c r="B17" s="8" t="s">
        <v>1014</v>
      </c>
      <c r="C17" s="8" t="s">
        <v>1015</v>
      </c>
      <c r="D17" s="8" t="s">
        <v>1016</v>
      </c>
      <c r="E17" s="8" t="s">
        <v>190</v>
      </c>
      <c r="F17" s="8" t="s">
        <v>1017</v>
      </c>
      <c r="G17" s="8" t="s">
        <v>1018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G1"/>
    <mergeCell ref="A2:G2"/>
  </mergeCells>
  <conditionalFormatting sqref="E6:E17">
    <cfRule type="containsText" priority="2" operator="containsText" aboveAverage="0" equalAverage="0" bottom="0" percent="0" rank="0" text="Approved" dxfId="13">
      <formula>NOT(ISERROR(SEARCH("Approved",E6)))</formula>
    </cfRule>
    <cfRule type="containsText" priority="3" operator="containsText" aboveAverage="0" equalAverage="0" bottom="0" percent="0" rank="0" text="Passed" dxfId="13">
      <formula>NOT(ISERROR(SEARCH("Passed",E6)))</formula>
    </cfRule>
    <cfRule type="containsText" priority="4" operator="containsText" aboveAverage="0" equalAverage="0" bottom="0" percent="0" rank="0" text="Released" dxfId="13">
      <formula>NOT(ISERROR(SEARCH("Released",E6)))</formula>
    </cfRule>
    <cfRule type="containsText" priority="5" operator="containsText" aboveAverage="0" equalAverage="0" bottom="0" percent="0" rank="0" text="Project Owner review" dxfId="1">
      <formula>NOT(ISERROR(SEARCH("Project Owner review",E6)))</formula>
    </cfRule>
    <cfRule type="containsText" priority="6" operator="containsText" aboveAverage="0" equalAverage="0" bottom="0" percent="0" rank="0" text="Pending" dxfId="14">
      <formula>NOT(ISERROR(SEARCH("Pending",E6)))</formula>
    </cfRule>
    <cfRule type="containsText" priority="7" operator="containsText" aboveAverage="0" equalAverage="0" bottom="0" percent="0" rank="0" text="Blocked" dxfId="0">
      <formula>NOT(ISERROR(SEARCH("Blocked",E6)))</formula>
    </cfRule>
    <cfRule type="containsText" priority="8" operator="containsText" aboveAverage="0" equalAverage="0" bottom="0" percent="0" rank="0" text="unresolved" dxfId="0">
      <formula>NOT(ISERROR(SEARCH("unresolved",E6)))</formula>
    </cfRule>
    <cfRule type="containsText" priority="9" operator="containsText" aboveAverage="0" equalAverage="0" bottom="0" percent="0" rank="0" text="Not started" dxfId="15">
      <formula>NOT(ISERROR(SEARCH("Not started",E6)))</formula>
    </cfRule>
    <cfRule type="containsText" priority="10" operator="containsText" aboveAverage="0" equalAverage="0" bottom="0" percent="0" rank="0" text="Not evidenced" dxfId="15">
      <formula>NOT(ISERROR(SEARCH("Not evidenced",E6)))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Z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53"/>
    <col collapsed="false" customWidth="true" hidden="false" outlineLevel="0" max="5" min="5" style="0" width="14"/>
    <col collapsed="false" customWidth="true" hidden="false" outlineLevel="0" max="6" min="6" style="0" width="24"/>
    <col collapsed="false" customWidth="true" hidden="false" outlineLevel="0" max="7" min="7" style="0" width="50"/>
    <col collapsed="false" customWidth="true" hidden="false" outlineLevel="0" max="8" min="8" style="0" width="38"/>
    <col collapsed="false" customWidth="true" hidden="false" outlineLevel="0" max="9" min="9" style="0" width="42"/>
  </cols>
  <sheetData>
    <row r="1" customFormat="false" ht="37.5" hidden="false" customHeight="true" outlineLevel="0" collapsed="false">
      <c r="A1" s="1" t="s">
        <v>1019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3.75" hidden="false" customHeight="true" outlineLevel="0" collapsed="false">
      <c r="A2" s="3" t="s">
        <v>1020</v>
      </c>
      <c r="B2" s="3"/>
      <c r="C2" s="3"/>
      <c r="D2" s="3"/>
      <c r="E2" s="3"/>
      <c r="F2" s="3"/>
      <c r="G2" s="3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6" hidden="false" customHeight="true" outlineLevel="0" collapsed="false">
      <c r="A5" s="12" t="s">
        <v>1021</v>
      </c>
      <c r="B5" s="12" t="s">
        <v>9</v>
      </c>
      <c r="C5" s="12" t="s">
        <v>10</v>
      </c>
      <c r="D5" s="12" t="s">
        <v>8</v>
      </c>
      <c r="E5" s="12" t="s">
        <v>14</v>
      </c>
      <c r="F5" s="12" t="s">
        <v>12</v>
      </c>
      <c r="G5" s="12" t="s">
        <v>133</v>
      </c>
      <c r="H5" s="12" t="s">
        <v>13</v>
      </c>
      <c r="I5" s="12" t="s">
        <v>15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43.5" hidden="false" customHeight="true" outlineLevel="0" collapsed="false">
      <c r="A6" s="2" t="s">
        <v>16</v>
      </c>
      <c r="B6" s="2" t="s">
        <v>17</v>
      </c>
      <c r="C6" s="8" t="s">
        <v>18</v>
      </c>
      <c r="D6" s="8" t="s">
        <v>1022</v>
      </c>
      <c r="E6" s="8" t="s">
        <v>22</v>
      </c>
      <c r="F6" s="8" t="s">
        <v>20</v>
      </c>
      <c r="G6" s="8" t="s">
        <v>19</v>
      </c>
      <c r="H6" s="8" t="s">
        <v>21</v>
      </c>
      <c r="I6" s="8" t="s">
        <v>23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43.5" hidden="false" customHeight="true" outlineLevel="0" collapsed="false">
      <c r="A7" s="2" t="s">
        <v>24</v>
      </c>
      <c r="B7" s="2" t="s">
        <v>17</v>
      </c>
      <c r="C7" s="8" t="s">
        <v>18</v>
      </c>
      <c r="D7" s="8" t="s">
        <v>1023</v>
      </c>
      <c r="E7" s="8" t="s">
        <v>22</v>
      </c>
      <c r="F7" s="8" t="s">
        <v>20</v>
      </c>
      <c r="G7" s="8" t="s">
        <v>25</v>
      </c>
      <c r="H7" s="8" t="s">
        <v>26</v>
      </c>
      <c r="I7" s="8" t="s">
        <v>27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43.5" hidden="false" customHeight="true" outlineLevel="0" collapsed="false">
      <c r="A8" s="2" t="s">
        <v>28</v>
      </c>
      <c r="B8" s="2" t="s">
        <v>17</v>
      </c>
      <c r="C8" s="8" t="s">
        <v>18</v>
      </c>
      <c r="D8" s="8" t="s">
        <v>1024</v>
      </c>
      <c r="E8" s="8" t="s">
        <v>22</v>
      </c>
      <c r="F8" s="8" t="s">
        <v>20</v>
      </c>
      <c r="G8" s="8" t="s">
        <v>29</v>
      </c>
      <c r="H8" s="8" t="s">
        <v>30</v>
      </c>
      <c r="I8" s="8" t="s">
        <v>31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43.5" hidden="false" customHeight="true" outlineLevel="0" collapsed="false">
      <c r="A9" s="2" t="s">
        <v>1025</v>
      </c>
      <c r="B9" s="2" t="s">
        <v>17</v>
      </c>
      <c r="C9" s="8" t="s">
        <v>18</v>
      </c>
      <c r="D9" s="8" t="s">
        <v>1026</v>
      </c>
      <c r="E9" s="8" t="s">
        <v>69</v>
      </c>
      <c r="F9" s="8" t="s">
        <v>20</v>
      </c>
      <c r="G9" s="8" t="s">
        <v>1027</v>
      </c>
      <c r="H9" s="8" t="s">
        <v>1028</v>
      </c>
      <c r="I9" s="8" t="s">
        <v>1029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43.5" hidden="false" customHeight="true" outlineLevel="0" collapsed="false">
      <c r="A10" s="2" t="s">
        <v>32</v>
      </c>
      <c r="B10" s="2" t="s">
        <v>17</v>
      </c>
      <c r="C10" s="8" t="s">
        <v>18</v>
      </c>
      <c r="D10" s="8" t="s">
        <v>1030</v>
      </c>
      <c r="E10" s="8" t="s">
        <v>22</v>
      </c>
      <c r="F10" s="8" t="s">
        <v>20</v>
      </c>
      <c r="G10" s="8" t="s">
        <v>19</v>
      </c>
      <c r="H10" s="8" t="s">
        <v>21</v>
      </c>
      <c r="I10" s="8" t="s">
        <v>33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43.5" hidden="false" customHeight="true" outlineLevel="0" collapsed="false">
      <c r="A11" s="2" t="s">
        <v>34</v>
      </c>
      <c r="B11" s="2" t="s">
        <v>35</v>
      </c>
      <c r="C11" s="8" t="s">
        <v>36</v>
      </c>
      <c r="D11" s="8" t="s">
        <v>1031</v>
      </c>
      <c r="E11" s="8" t="s">
        <v>40</v>
      </c>
      <c r="F11" s="8" t="s">
        <v>38</v>
      </c>
      <c r="G11" s="8" t="s">
        <v>37</v>
      </c>
      <c r="H11" s="8" t="s">
        <v>39</v>
      </c>
      <c r="I11" s="8" t="s">
        <v>41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43.5" hidden="false" customHeight="true" outlineLevel="0" collapsed="false">
      <c r="A12" s="2" t="s">
        <v>42</v>
      </c>
      <c r="B12" s="2" t="s">
        <v>35</v>
      </c>
      <c r="C12" s="8" t="s">
        <v>43</v>
      </c>
      <c r="D12" s="8" t="s">
        <v>1032</v>
      </c>
      <c r="E12" s="8" t="s">
        <v>40</v>
      </c>
      <c r="F12" s="8" t="s">
        <v>45</v>
      </c>
      <c r="G12" s="8" t="s">
        <v>44</v>
      </c>
      <c r="H12" s="8" t="s">
        <v>46</v>
      </c>
      <c r="I12" s="8" t="s">
        <v>47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43.5" hidden="false" customHeight="true" outlineLevel="0" collapsed="false">
      <c r="A13" s="2" t="s">
        <v>48</v>
      </c>
      <c r="B13" s="2" t="s">
        <v>17</v>
      </c>
      <c r="C13" s="8" t="s">
        <v>49</v>
      </c>
      <c r="D13" s="8" t="s">
        <v>1033</v>
      </c>
      <c r="E13" s="8" t="s">
        <v>40</v>
      </c>
      <c r="F13" s="8" t="s">
        <v>51</v>
      </c>
      <c r="G13" s="8" t="s">
        <v>50</v>
      </c>
      <c r="H13" s="8" t="s">
        <v>52</v>
      </c>
      <c r="I13" s="8" t="s">
        <v>53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43.5" hidden="false" customHeight="true" outlineLevel="0" collapsed="false">
      <c r="A14" s="2" t="s">
        <v>54</v>
      </c>
      <c r="B14" s="2" t="s">
        <v>55</v>
      </c>
      <c r="C14" s="8" t="s">
        <v>56</v>
      </c>
      <c r="D14" s="8" t="s">
        <v>1034</v>
      </c>
      <c r="E14" s="8" t="s">
        <v>40</v>
      </c>
      <c r="F14" s="8" t="s">
        <v>51</v>
      </c>
      <c r="G14" s="8" t="s">
        <v>57</v>
      </c>
      <c r="H14" s="8" t="s">
        <v>58</v>
      </c>
      <c r="I14" s="8" t="s">
        <v>59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43.5" hidden="false" customHeight="true" outlineLevel="0" collapsed="false">
      <c r="A15" s="2" t="s">
        <v>60</v>
      </c>
      <c r="B15" s="2" t="s">
        <v>17</v>
      </c>
      <c r="C15" s="8" t="s">
        <v>61</v>
      </c>
      <c r="D15" s="8" t="s">
        <v>1035</v>
      </c>
      <c r="E15" s="8" t="s">
        <v>40</v>
      </c>
      <c r="F15" s="8" t="s">
        <v>63</v>
      </c>
      <c r="G15" s="8" t="s">
        <v>62</v>
      </c>
      <c r="H15" s="8" t="s">
        <v>64</v>
      </c>
      <c r="I15" s="8" t="s">
        <v>65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43.5" hidden="false" customHeight="true" outlineLevel="0" collapsed="false">
      <c r="A16" s="2" t="s">
        <v>66</v>
      </c>
      <c r="B16" s="2" t="s">
        <v>17</v>
      </c>
      <c r="C16" s="8" t="s">
        <v>61</v>
      </c>
      <c r="D16" s="8" t="s">
        <v>1036</v>
      </c>
      <c r="E16" s="8" t="s">
        <v>69</v>
      </c>
      <c r="F16" s="8" t="s">
        <v>63</v>
      </c>
      <c r="G16" s="8" t="s">
        <v>67</v>
      </c>
      <c r="H16" s="8" t="s">
        <v>68</v>
      </c>
      <c r="I16" s="8" t="s">
        <v>70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43.5" hidden="false" customHeight="true" outlineLevel="0" collapsed="false">
      <c r="A17" s="2" t="s">
        <v>1037</v>
      </c>
      <c r="B17" s="2" t="s">
        <v>1038</v>
      </c>
      <c r="C17" s="8" t="s">
        <v>1039</v>
      </c>
      <c r="D17" s="8" t="s">
        <v>1040</v>
      </c>
      <c r="E17" s="8" t="s">
        <v>1041</v>
      </c>
      <c r="F17" s="8" t="s">
        <v>1042</v>
      </c>
      <c r="G17" s="8" t="s">
        <v>1043</v>
      </c>
      <c r="H17" s="8" t="s">
        <v>1044</v>
      </c>
      <c r="I17" s="8" t="s">
        <v>1045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43.5" hidden="false" customHeight="true" outlineLevel="0" collapsed="false">
      <c r="A18" s="2" t="s">
        <v>71</v>
      </c>
      <c r="B18" s="2" t="s">
        <v>17</v>
      </c>
      <c r="C18" s="8" t="s">
        <v>72</v>
      </c>
      <c r="D18" s="8" t="s">
        <v>1046</v>
      </c>
      <c r="E18" s="8" t="s">
        <v>40</v>
      </c>
      <c r="F18" s="8" t="s">
        <v>74</v>
      </c>
      <c r="G18" s="8" t="s">
        <v>73</v>
      </c>
      <c r="H18" s="8" t="s">
        <v>75</v>
      </c>
      <c r="I18" s="8" t="s">
        <v>76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43.5" hidden="false" customHeight="true" outlineLevel="0" collapsed="false">
      <c r="A19" s="2" t="s">
        <v>77</v>
      </c>
      <c r="B19" s="2" t="s">
        <v>17</v>
      </c>
      <c r="C19" s="8" t="s">
        <v>78</v>
      </c>
      <c r="D19" s="8" t="s">
        <v>1047</v>
      </c>
      <c r="E19" s="8" t="s">
        <v>40</v>
      </c>
      <c r="F19" s="8" t="s">
        <v>51</v>
      </c>
      <c r="G19" s="8" t="s">
        <v>79</v>
      </c>
      <c r="H19" s="8" t="s">
        <v>80</v>
      </c>
      <c r="I19" s="8" t="s">
        <v>81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43.5" hidden="false" customHeight="true" outlineLevel="0" collapsed="false">
      <c r="A20" s="2" t="s">
        <v>1048</v>
      </c>
      <c r="B20" s="2" t="s">
        <v>17</v>
      </c>
      <c r="C20" s="8" t="s">
        <v>18</v>
      </c>
      <c r="D20" s="8" t="s">
        <v>1049</v>
      </c>
      <c r="E20" s="8" t="s">
        <v>69</v>
      </c>
      <c r="F20" s="8" t="s">
        <v>20</v>
      </c>
      <c r="G20" s="8" t="s">
        <v>1050</v>
      </c>
      <c r="H20" s="8" t="s">
        <v>1051</v>
      </c>
      <c r="I20" s="8" t="s">
        <v>1052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43.5" hidden="false" customHeight="true" outlineLevel="0" collapsed="false">
      <c r="A21" s="2" t="s">
        <v>82</v>
      </c>
      <c r="B21" s="2" t="s">
        <v>55</v>
      </c>
      <c r="C21" s="8" t="s">
        <v>18</v>
      </c>
      <c r="D21" s="8" t="s">
        <v>1053</v>
      </c>
      <c r="E21" s="8" t="s">
        <v>22</v>
      </c>
      <c r="F21" s="8" t="s">
        <v>20</v>
      </c>
      <c r="G21" s="8" t="s">
        <v>19</v>
      </c>
      <c r="H21" s="8" t="s">
        <v>21</v>
      </c>
      <c r="I21" s="8" t="s">
        <v>83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43.5" hidden="false" customHeight="true" outlineLevel="0" collapsed="false">
      <c r="A22" s="2" t="s">
        <v>1054</v>
      </c>
      <c r="B22" s="2" t="s">
        <v>17</v>
      </c>
      <c r="C22" s="8" t="s">
        <v>1055</v>
      </c>
      <c r="D22" s="8" t="s">
        <v>1056</v>
      </c>
      <c r="E22" s="8" t="s">
        <v>40</v>
      </c>
      <c r="F22" s="8" t="s">
        <v>1057</v>
      </c>
      <c r="G22" s="8" t="s">
        <v>1058</v>
      </c>
      <c r="H22" s="8" t="s">
        <v>1059</v>
      </c>
      <c r="I22" s="8" t="s">
        <v>1060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43.5" hidden="false" customHeight="true" outlineLevel="0" collapsed="false">
      <c r="A23" s="2" t="s">
        <v>1061</v>
      </c>
      <c r="B23" s="2" t="s">
        <v>17</v>
      </c>
      <c r="C23" s="8" t="s">
        <v>1062</v>
      </c>
      <c r="D23" s="8" t="s">
        <v>1063</v>
      </c>
      <c r="E23" s="8" t="s">
        <v>1041</v>
      </c>
      <c r="F23" s="8" t="s">
        <v>1064</v>
      </c>
      <c r="G23" s="8" t="s">
        <v>1065</v>
      </c>
      <c r="H23" s="8" t="s">
        <v>1066</v>
      </c>
      <c r="I23" s="8" t="s">
        <v>1067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43.5" hidden="false" customHeight="true" outlineLevel="0" collapsed="false">
      <c r="A24" s="2" t="s">
        <v>1068</v>
      </c>
      <c r="B24" s="2" t="s">
        <v>17</v>
      </c>
      <c r="C24" s="8" t="s">
        <v>1069</v>
      </c>
      <c r="D24" s="8" t="s">
        <v>1070</v>
      </c>
      <c r="E24" s="8" t="s">
        <v>40</v>
      </c>
      <c r="F24" s="8" t="s">
        <v>1071</v>
      </c>
      <c r="G24" s="8" t="s">
        <v>1072</v>
      </c>
      <c r="H24" s="8" t="s">
        <v>1073</v>
      </c>
      <c r="I24" s="8" t="s">
        <v>1074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43.5" hidden="false" customHeight="true" outlineLevel="0" collapsed="false">
      <c r="A25" s="2" t="s">
        <v>84</v>
      </c>
      <c r="B25" s="2" t="s">
        <v>55</v>
      </c>
      <c r="C25" s="8" t="s">
        <v>85</v>
      </c>
      <c r="D25" s="8" t="s">
        <v>1075</v>
      </c>
      <c r="E25" s="8" t="s">
        <v>40</v>
      </c>
      <c r="F25" s="8" t="s">
        <v>87</v>
      </c>
      <c r="G25" s="8" t="s">
        <v>86</v>
      </c>
      <c r="H25" s="8" t="s">
        <v>88</v>
      </c>
      <c r="I25" s="8" t="s">
        <v>89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43.5" hidden="false" customHeight="true" outlineLevel="0" collapsed="false">
      <c r="A26" s="2" t="s">
        <v>1076</v>
      </c>
      <c r="B26" s="2" t="s">
        <v>55</v>
      </c>
      <c r="C26" s="8" t="s">
        <v>1077</v>
      </c>
      <c r="D26" s="8" t="s">
        <v>1078</v>
      </c>
      <c r="E26" s="8" t="s">
        <v>69</v>
      </c>
      <c r="F26" s="8" t="s">
        <v>63</v>
      </c>
      <c r="G26" s="8" t="s">
        <v>1079</v>
      </c>
      <c r="H26" s="8" t="s">
        <v>1028</v>
      </c>
      <c r="I26" s="8" t="s">
        <v>1080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43.5" hidden="false" customHeight="true" outlineLevel="0" collapsed="false">
      <c r="A27" s="2" t="s">
        <v>90</v>
      </c>
      <c r="B27" s="2" t="s">
        <v>55</v>
      </c>
      <c r="C27" s="8" t="s">
        <v>56</v>
      </c>
      <c r="D27" s="8" t="s">
        <v>1081</v>
      </c>
      <c r="E27" s="8" t="s">
        <v>40</v>
      </c>
      <c r="F27" s="8" t="s">
        <v>51</v>
      </c>
      <c r="G27" s="8" t="s">
        <v>91</v>
      </c>
      <c r="H27" s="8" t="s">
        <v>92</v>
      </c>
      <c r="I27" s="8" t="s">
        <v>93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43.5" hidden="false" customHeight="true" outlineLevel="0" collapsed="false">
      <c r="A28" s="2" t="s">
        <v>94</v>
      </c>
      <c r="B28" s="2" t="s">
        <v>55</v>
      </c>
      <c r="C28" s="8" t="s">
        <v>15</v>
      </c>
      <c r="D28" s="8" t="s">
        <v>1082</v>
      </c>
      <c r="E28" s="8" t="s">
        <v>40</v>
      </c>
      <c r="F28" s="8" t="s">
        <v>20</v>
      </c>
      <c r="G28" s="8" t="s">
        <v>95</v>
      </c>
      <c r="H28" s="8" t="s">
        <v>96</v>
      </c>
      <c r="I28" s="8" t="s">
        <v>97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43.5" hidden="false" customHeight="true" outlineLevel="0" collapsed="false">
      <c r="A29" s="2" t="s">
        <v>98</v>
      </c>
      <c r="B29" s="2" t="s">
        <v>99</v>
      </c>
      <c r="C29" s="8" t="s">
        <v>100</v>
      </c>
      <c r="D29" s="8" t="s">
        <v>1083</v>
      </c>
      <c r="E29" s="8" t="s">
        <v>40</v>
      </c>
      <c r="F29" s="8" t="s">
        <v>51</v>
      </c>
      <c r="G29" s="8" t="s">
        <v>101</v>
      </c>
      <c r="H29" s="8" t="s">
        <v>102</v>
      </c>
      <c r="I29" s="8" t="s">
        <v>103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I1"/>
    <mergeCell ref="A2:I2"/>
  </mergeCells>
  <conditionalFormatting sqref="E6:E29">
    <cfRule type="containsText" priority="2" operator="containsText" aboveAverage="0" equalAverage="0" bottom="0" percent="0" rank="0" text="Approved" dxfId="13">
      <formula>NOT(ISERROR(SEARCH("Approved",E6)))</formula>
    </cfRule>
    <cfRule type="containsText" priority="3" operator="containsText" aboveAverage="0" equalAverage="0" bottom="0" percent="0" rank="0" text="Passed" dxfId="13">
      <formula>NOT(ISERROR(SEARCH("Passed",E6)))</formula>
    </cfRule>
    <cfRule type="containsText" priority="4" operator="containsText" aboveAverage="0" equalAverage="0" bottom="0" percent="0" rank="0" text="Released" dxfId="13">
      <formula>NOT(ISERROR(SEARCH("Released",E6)))</formula>
    </cfRule>
    <cfRule type="containsText" priority="5" operator="containsText" aboveAverage="0" equalAverage="0" bottom="0" percent="0" rank="0" text="Project Owner review" dxfId="1">
      <formula>NOT(ISERROR(SEARCH("Project Owner review",E6)))</formula>
    </cfRule>
    <cfRule type="containsText" priority="6" operator="containsText" aboveAverage="0" equalAverage="0" bottom="0" percent="0" rank="0" text="Pending" dxfId="14">
      <formula>NOT(ISERROR(SEARCH("Pending",E6)))</formula>
    </cfRule>
    <cfRule type="containsText" priority="7" operator="containsText" aboveAverage="0" equalAverage="0" bottom="0" percent="0" rank="0" text="Blocked" dxfId="0">
      <formula>NOT(ISERROR(SEARCH("Blocked",E6)))</formula>
    </cfRule>
    <cfRule type="containsText" priority="8" operator="containsText" aboveAverage="0" equalAverage="0" bottom="0" percent="0" rank="0" text="unresolved" dxfId="0">
      <formula>NOT(ISERROR(SEARCH("unresolved",E6)))</formula>
    </cfRule>
    <cfRule type="containsText" priority="9" operator="containsText" aboveAverage="0" equalAverage="0" bottom="0" percent="0" rank="0" text="Not started" dxfId="15">
      <formula>NOT(ISERROR(SEARCH("Not started",E6)))</formula>
    </cfRule>
    <cfRule type="containsText" priority="10" operator="containsText" aboveAverage="0" equalAverage="0" bottom="0" percent="0" rank="0" text="Not evidenced" dxfId="15">
      <formula>NOT(ISERROR(SEARCH("Not evidenced",E6)))</formula>
    </cfRule>
  </conditionalFormatting>
  <conditionalFormatting sqref="B6:B29">
    <cfRule type="containsText" priority="11" operator="containsText" aboveAverage="0" equalAverage="0" bottom="0" percent="0" rank="0" text="Critical" dxfId="0">
      <formula>NOT(ISERROR(SEARCH("Critical",B6)))</formula>
    </cfRule>
    <cfRule type="containsText" priority="12" operator="containsText" aboveAverage="0" equalAverage="0" bottom="0" percent="0" rank="0" text="High" dxfId="1">
      <formula>NOT(ISERROR(SEARCH("High",B6)))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2026-10-02T14:55:42Z</dcterms:created>
  <dc:creator>openpyxl</dc:creator>
  <dc:description/>
  <dc:language>en-US</dc:language>
  <cp:lastModifiedBy/>
  <dcterms:modified xsi:type="dcterms:W3CDTF">2026-10-02T14:55:43Z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