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7cda7d17dc4f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004619dfe2d948a2"/>
    <x:sheet xmlns:r="http://schemas.openxmlformats.org/officeDocument/2006/relationships" name="Documents" sheetId="2" r:id="Rf11418edcc5f4afa"/>
    <x:sheet xmlns:r="http://schemas.openxmlformats.org/officeDocument/2006/relationships" name="Interfaces" sheetId="3" r:id="Rbaad753d0f1d4af1"/>
    <x:sheet xmlns:r="http://schemas.openxmlformats.org/officeDocument/2006/relationships" name="Decisions" sheetId="4" r:id="Rf0296969abad41d3"/>
    <x:sheet xmlns:r="http://schemas.openxmlformats.org/officeDocument/2006/relationships" name="Delivery" sheetId="5" r:id="R1b1e76033e814cf7"/>
    <x:sheet xmlns:r="http://schemas.openxmlformats.org/officeDocument/2006/relationships" name="Future Work" sheetId="6" r:id="Rbe951852b697406e"/>
    <x:sheet xmlns:r="http://schemas.openxmlformats.org/officeDocument/2006/relationships" name="Audit" sheetId="7" r:id="R06ef8e1c7579449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9">
    <x:font>
      <x:sz val="11"/>
      <x:name val="Carlito"/>
    </x:font>
    <x:font>
      <x:sz val="10"/>
      <x:color rgb="FF1F2937"/>
      <x:name val="Aptos"/>
    </x:font>
    <x:font>
      <x:b/>
      <x:sz val="20"/>
      <x:color rgb="FFFFFFFF"/>
      <x:name val="Aptos"/>
    </x:font>
    <x:font>
      <x:b/>
      <x:sz val="11"/>
      <x:color rgb="FFFFFFFF"/>
      <x:name val="Aptos"/>
    </x:font>
    <x:font>
      <x:b/>
      <x:sz val="9"/>
      <x:color rgb="FF1F2937"/>
      <x:name val="Aptos"/>
    </x:font>
    <x:font>
      <x:b/>
      <x:sz val="20"/>
      <x:color rgb="FF17365D"/>
      <x:name val="Aptos"/>
    </x:font>
    <x:font>
      <x:b/>
      <x:sz val="9"/>
      <x:color rgb="FFFFFFFF"/>
      <x:name val="Aptos"/>
    </x:font>
    <x:font>
      <x:b/>
      <x:sz val="10"/>
      <x:color rgb="FF17365D"/>
      <x:name val="Aptos"/>
    </x:font>
    <x:font>
      <x:b/>
      <x:sz val="10"/>
      <x:color rgb="FFFFFFFF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4472C4"/>
      </x:patternFill>
    </x:fill>
    <x:fill>
      <x:patternFill patternType="solid">
        <x:fgColor rgb="FFF2F2F2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</x:fills>
  <x:borders count="2">
    <x:border/>
    <x:border>
      <x:left style="thin">
        <x:color rgb="FFD0D7DE"/>
      </x:left>
      <x:right style="thin">
        <x:color rgb="FFD0D7DE"/>
      </x:right>
      <x:top style="thin">
        <x:color rgb="FFD0D7DE"/>
      </x:top>
      <x:bottom style="thin">
        <x:color rgb="FFD0D7DE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/>
    </x:xf>
    <x:xf numFmtId="0" fontId="2" fillId="2" borderId="0" xfId="0" applyNumberFormat="1" applyFont="1" applyFill="1" applyBorder="1" applyAlignment="1">
      <x:alignment vertical="top"/>
    </x:xf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/>
    </x:xf>
    <x:xf numFmtId="0" fontId="1" fillId="5" borderId="0" xfId="0" applyNumberFormat="1" applyFont="1" applyFill="1" applyBorder="1" applyAlignment="1">
      <x:alignment vertical="top"/>
    </x:xf>
    <x:xf numFmtId="0" fontId="4" fillId="5" borderId="0" xfId="0" applyNumberFormat="1" applyFont="1" applyFill="1" applyBorder="1" applyAlignment="1">
      <x:alignment vertical="top"/>
    </x:xf>
    <x:xf numFmtId="0" fontId="4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horizontal="center" vertical="top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1" fillId="6" borderId="0" xfId="0" applyNumberFormat="1" applyFont="1" applyFill="1" applyBorder="1" applyAlignment="1">
      <x:alignment vertical="top"/>
    </x:xf>
    <x:xf numFmtId="0" fontId="5" fillId="6" borderId="0" xfId="0" applyNumberFormat="1" applyFont="1" applyFill="1" applyBorder="1" applyAlignment="1">
      <x:alignment vertical="top"/>
    </x:xf>
    <x:xf numFmtId="0" fontId="5" fillId="6" borderId="1" xfId="0" applyNumberFormat="1" applyFont="1" applyFill="1" applyBorder="1" applyAlignment="1">
      <x:alignment vertical="top"/>
    </x:xf>
    <x:xf numFmtId="0" fontId="5" fillId="6" borderId="1" xfId="0" applyNumberFormat="1" applyFont="1" applyFill="1" applyBorder="1" applyAlignment="1">
      <x:alignment horizontal="center" vertical="top"/>
    </x:xf>
    <x:xf numFmtId="0" fontId="5" fillId="6" borderId="1" xfId="0" applyNumberFormat="1" applyFont="1" applyFill="1" applyBorder="1" applyAlignment="1">
      <x:alignment horizontal="center" vertical="center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6" fillId="2" borderId="0" xfId="0" applyNumberFormat="1" applyFont="1" applyFill="1" applyBorder="1" applyAlignment="1">
      <x:alignment vertical="top"/>
    </x:xf>
    <x:xf numFmtId="0" fontId="6" fillId="2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top"/>
    </x:xf>
    <x:xf numFmtId="0" fontId="7" fillId="7" borderId="0" xfId="0" applyNumberFormat="1" applyFont="1" applyFill="1" applyBorder="1" applyAlignment="1">
      <x:alignment vertical="top"/>
    </x:xf>
    <x:xf numFmtId="0" fontId="7" fillId="7" borderId="0" xfId="0" applyNumberFormat="1" applyFont="1" applyFill="1" applyBorder="1" applyAlignment="1">
      <x:alignment horizontal="center" vertical="top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 applyAlignment="1">
      <x:alignment vertical="top"/>
    </x:xf>
    <x:xf numFmtId="0" fontId="7" fillId="7" borderId="1" xfId="0" applyNumberFormat="1" applyFont="1" applyFill="1" applyBorder="1" applyAlignment="1">
      <x:alignment horizontal="center" vertical="center"/>
    </x:xf>
    <x:xf numFmtId="0" fontId="7" fillId="0" borderId="1" xfId="0" applyNumberFormat="1" applyFont="1" applyFill="1" applyBorder="1" applyAlignment="1">
      <x:alignment vertical="top"/>
    </x:xf>
    <x:xf numFmtId="0" fontId="1" fillId="0" borderId="1" xfId="0" applyNumberFormat="1" applyFont="1" applyFill="1" applyBorder="1" applyAlignment="1">
      <x:alignment vertical="top" wrapText="1"/>
    </x:xf>
    <x:xf numFmtId="0" fontId="8" fillId="2" borderId="0" xfId="0" applyNumberFormat="1" applyFont="1" applyFill="1" applyBorder="1" applyAlignment="1">
      <x:alignment vertical="top"/>
    </x:xf>
    <x:xf numFmtId="0" fontId="8" fillId="2" borderId="0" xfId="0" applyNumberFormat="1" applyFont="1" applyFill="1" applyBorder="1" applyAlignment="1">
      <x:alignment vertical="top" wrapText="1"/>
    </x:xf>
    <x:xf numFmtId="0" fontId="8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top"/>
    </x:xf>
  </x:cellXfs>
  <x:cellStyles count="1">
    <x:cellStyle name="Normal" xfId="0"/>
  </x:cellStyles>
  <x:dxfs count="121"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1F2937"/>
      </x:font>
      <x:fill>
        <x:patternFill patternType="solid">
          <x:bgColor rgb="FFF2F2F2"/>
        </x:patternFill>
      </x:fill>
    </x:dxf>
    <x:dxf>
      <x:font>
        <x:color rgb="FF1F2937"/>
      </x:font>
      <x:fill>
        <x:patternFill patternType="solid">
          <x:bgColor rgb="FFF2F2F2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1F2937"/>
      </x:font>
      <x:fill>
        <x:patternFill patternType="solid">
          <x:bgColor rgb="FFF2F2F2"/>
        </x:patternFill>
      </x:fill>
    </x:dxf>
    <x:dxf>
      <x:font>
        <x:color rgb="FF1F2937"/>
      </x:font>
      <x:fill>
        <x:patternFill patternType="solid">
          <x:bgColor rgb="FFF2F2F2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1F2937"/>
      </x:font>
      <x:fill>
        <x:patternFill patternType="solid">
          <x:bgColor rgb="FFF2F2F2"/>
        </x:patternFill>
      </x:fill>
    </x:dxf>
    <x:dxf>
      <x:font>
        <x:color rgb="FF1F2937"/>
      </x:font>
      <x:fill>
        <x:patternFill patternType="solid">
          <x:bgColor rgb="FFF2F2F2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1F2937"/>
      </x:font>
      <x:fill>
        <x:patternFill patternType="solid">
          <x:bgColor rgb="FFF2F2F2"/>
        </x:patternFill>
      </x:fill>
    </x:dxf>
    <x:dxf>
      <x:font>
        <x:color rgb="FF1F2937"/>
      </x:font>
      <x:fill>
        <x:patternFill patternType="solid">
          <x:bgColor rgb="FFF2F2F2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1F2937"/>
      </x:font>
      <x:fill>
        <x:patternFill patternType="solid">
          <x:bgColor rgb="FFF2F2F2"/>
        </x:patternFill>
      </x:fill>
    </x:dxf>
    <x:dxf>
      <x:font>
        <x:color rgb="FF1F2937"/>
      </x:font>
      <x:fill>
        <x:patternFill patternType="solid">
          <x:bgColor rgb="FFF2F2F2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1F2937"/>
      </x:font>
      <x:fill>
        <x:patternFill patternType="solid">
          <x:bgColor rgb="FFF2F2F2"/>
        </x:patternFill>
      </x:fill>
    </x:dxf>
    <x:dxf>
      <x:font>
        <x:color rgb="FF1F2937"/>
      </x:font>
      <x:fill>
        <x:patternFill patternType="solid">
          <x:bgColor rgb="FFF2F2F2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1F2937"/>
      </x:font>
      <x:fill>
        <x:patternFill patternType="solid">
          <x:bgColor rgb="FFF2F2F2"/>
        </x:patternFill>
      </x:fill>
    </x:dxf>
    <x:dxf>
      <x:font>
        <x:color rgb="FF1F2937"/>
      </x:font>
      <x:fill>
        <x:patternFill patternType="solid">
          <x:bgColor rgb="FFF2F2F2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1F2937"/>
      </x:font>
      <x:fill>
        <x:patternFill patternType="solid">
          <x:bgColor rgb="FFF2F2F2"/>
        </x:patternFill>
      </x:fill>
    </x:dxf>
    <x:dxf>
      <x:font>
        <x:color rgb="FF1F2937"/>
      </x:font>
      <x:fill>
        <x:patternFill patternType="solid">
          <x:bgColor rgb="FFF2F2F2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1F2937"/>
      </x:font>
      <x:fill>
        <x:patternFill patternType="solid">
          <x:bgColor rgb="FFF2F2F2"/>
        </x:patternFill>
      </x:fill>
    </x:dxf>
    <x:dxf>
      <x:font>
        <x:color rgb="FF1F2937"/>
      </x:font>
      <x:fill>
        <x:patternFill patternType="solid">
          <x:bgColor rgb="FFF2F2F2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1F2937"/>
      </x:font>
      <x:fill>
        <x:patternFill patternType="solid">
          <x:bgColor rgb="FFF2F2F2"/>
        </x:patternFill>
      </x:fill>
    </x:dxf>
    <x:dxf>
      <x:font>
        <x:color rgb="FF1F2937"/>
      </x:font>
      <x:fill>
        <x:patternFill patternType="solid">
          <x:bgColor rgb="FFF2F2F2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1F2937"/>
      </x:font>
      <x:fill>
        <x:patternFill patternType="solid">
          <x:bgColor rgb="FFF2F2F2"/>
        </x:patternFill>
      </x:fill>
    </x:dxf>
    <x:dxf>
      <x:font>
        <x:color rgb="FF1F2937"/>
      </x:font>
      <x:fill>
        <x:patternFill patternType="solid">
          <x:bgColor rgb="FFF2F2F2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1F2937"/>
      </x:font>
      <x:fill>
        <x:patternFill patternType="solid">
          <x:bgColor rgb="FFF2F2F2"/>
        </x:patternFill>
      </x:fill>
    </x:dxf>
    <x:dxf>
      <x:font>
        <x:color rgb="FF1F2937"/>
      </x:font>
      <x:fill>
        <x:patternFill patternType="solid">
          <x:bgColor rgb="FFF2F2F2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1F2937"/>
      </x:font>
      <x:fill>
        <x:patternFill patternType="solid">
          <x:bgColor rgb="FFF2F2F2"/>
        </x:patternFill>
      </x:fill>
    </x:dxf>
    <x:dxf>
      <x:font>
        <x:color rgb="FF1F2937"/>
      </x:font>
      <x:fill>
        <x:patternFill patternType="solid">
          <x:bgColor rgb="FFF2F2F2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be6c4f674e4677" /><Relationship Type="http://schemas.openxmlformats.org/officeDocument/2006/relationships/theme" Target="/xl/theme/theme1.xml" Id="R5733ab0cc5194d90" /><Relationship Type="http://schemas.openxmlformats.org/officeDocument/2006/relationships/sharedStrings" Target="/xl/sharedStrings.xml" Id="R9ad3adeaceca4b34" /><Relationship Type="http://schemas.openxmlformats.org/officeDocument/2006/relationships/worksheet" Target="/xl/worksheets/sheet1.xml" Id="R004619dfe2d948a2" /><Relationship Type="http://schemas.openxmlformats.org/officeDocument/2006/relationships/worksheet" Target="/xl/worksheets/sheet2.xml" Id="Rf11418edcc5f4afa" /><Relationship Type="http://schemas.openxmlformats.org/officeDocument/2006/relationships/worksheet" Target="/xl/worksheets/sheet3.xml" Id="Rbaad753d0f1d4af1" /><Relationship Type="http://schemas.openxmlformats.org/officeDocument/2006/relationships/worksheet" Target="/xl/worksheets/sheet4.xml" Id="Rf0296969abad41d3" /><Relationship Type="http://schemas.openxmlformats.org/officeDocument/2006/relationships/worksheet" Target="/xl/worksheets/sheet5.xml" Id="R1b1e76033e814cf7" /><Relationship Type="http://schemas.openxmlformats.org/officeDocument/2006/relationships/worksheet" Target="/xl/worksheets/sheet6.xml" Id="Rbe951852b697406e" /><Relationship Type="http://schemas.openxmlformats.org/officeDocument/2006/relationships/worksheet" Target="/xl/worksheets/sheet7.xml" Id="R06ef8e1c7579449f" /></Relationships>
</file>

<file path=xl/tables/table1.xml><?xml version="1.0" encoding="utf-8"?>
<x:table xmlns:x="http://schemas.openxmlformats.org/spreadsheetml/2006/main" id="1" name="DocumentsTable" displayName="DocumentsTable" ref="A5:P29" headerRowCount="1" totalsRowCount="0" totalsRowShown="0">
  <x:autoFilter ref="A5:P29"/>
  <x:tableColumns count="16">
    <x:tableColumn id="1" name="Document ID"/>
    <x:tableColumn id="2" name="Title"/>
    <x:tableColumn id="3" name="Version"/>
    <x:tableColumn id="4" name="Module"/>
    <x:tableColumn id="5" name="Category"/>
    <x:tableColumn id="6" name="Requirement status"/>
    <x:tableColumn id="7" name="Approval date"/>
    <x:tableColumn id="8" name="Supersedes / basis"/>
    <x:tableColumn id="9" name="Implementation"/>
    <x:tableColumn id="10" name="Verification"/>
    <x:tableColumn id="11" name="Release"/>
    <x:tableColumn id="12" name="Normative"/>
    <x:tableColumn id="13" name="Scope"/>
    <x:tableColumn id="14" name="Dependencies"/>
    <x:tableColumn id="15" name="Required action"/>
    <x:tableColumn id="16" name="Sour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nterfacesTable" displayName="InterfacesTable" ref="A5:I20" headerRowCount="1" totalsRowCount="0" totalsRowShown="0">
  <x:autoFilter ref="A5:I20"/>
  <x:tableColumns count="9">
    <x:tableColumn id="1" name="Interface ID"/>
    <x:tableColumn id="2" name="Upstream owner"/>
    <x:tableColumn id="3" name="Downstream consumer"/>
    <x:tableColumn id="4" name="Contract / artifact"/>
    <x:tableColumn id="5" name="Requirement status"/>
    <x:tableColumn id="6" name="Implementation"/>
    <x:tableColumn id="7" name="Test status"/>
    <x:tableColumn id="8" name="Owning documents"/>
    <x:tableColumn id="9" name="Failure rul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ecisionsTable" displayName="DecisionsTable" ref="A5:F28" headerRowCount="1" totalsRowCount="0" totalsRowShown="0">
  <x:autoFilter ref="A5:F28"/>
  <x:tableColumns count="6">
    <x:tableColumn id="1" name="Decision ID"/>
    <x:tableColumn id="2" name="Decision"/>
    <x:tableColumn id="3" name="Status"/>
    <x:tableColumn id="4" name="Owning document"/>
    <x:tableColumn id="5" name="Implementation effect"/>
    <x:tableColumn id="6" name="Design effec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eliveryTable" displayName="DeliveryTable" ref="A5:K49" headerRowCount="1" totalsRowCount="0" totalsRowShown="0">
  <x:autoFilter ref="A5:K49"/>
  <x:tableColumns count="11">
    <x:tableColumn id="1" name="Item ID"/>
    <x:tableColumn id="2" name="Area"/>
    <x:tableColumn id="3" name="Required change"/>
    <x:tableColumn id="4" name="Functional outcome"/>
    <x:tableColumn id="5" name="Design outcome"/>
    <x:tableColumn id="6" name="Owning document"/>
    <x:tableColumn id="7" name="Requirement status"/>
    <x:tableColumn id="8" name="Release gate"/>
    <x:tableColumn id="9" name="Implementation"/>
    <x:tableColumn id="10" name="Verification"/>
    <x:tableColumn id="11" name="Evidence /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FutureWorkTable" displayName="FutureWorkTable" ref="A5:G15" headerRowCount="1" totalsRowCount="0" totalsRowShown="0">
  <x:autoFilter ref="A5:G15"/>
  <x:tableColumns count="7">
    <x:tableColumn id="1" name="Future ID"/>
    <x:tableColumn id="2" name="Capability"/>
    <x:tableColumn id="3" name="Planned wave"/>
    <x:tableColumn id="4" name="Dependency"/>
    <x:tableColumn id="5" name="Status"/>
    <x:tableColumn id="6" name="Current boundary"/>
    <x:tableColumn id="7" name="Trigger to start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AuditTable" displayName="AuditTable" ref="A5:I21" headerRowCount="1" totalsRowCount="0" totalsRowShown="0">
  <x:autoFilter ref="A5:I21"/>
  <x:tableColumns count="9">
    <x:tableColumn id="1" name="Finding ID"/>
    <x:tableColumn id="2" name="Severity"/>
    <x:tableColumn id="3" name="Type"/>
    <x:tableColumn id="4" name="Finding"/>
    <x:tableColumn id="5" name="Status"/>
    <x:tableColumn id="6" name="Owner"/>
    <x:tableColumn id="7" name="Required action"/>
    <x:tableColumn id="8" name="Blocks"/>
    <x:tableColumn id="9" name="Ev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18d86bf82406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4755ccc4c084e7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db4c67d0873480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8d787fd50224fd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9a2fcbb8c434f8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90ea2ab8c6db4a76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2" hidden="0" customWidth="1"/>
    <x:col min="2" max="2" width="16" hidden="0" customWidth="1"/>
    <x:col min="3" max="3" width="18" hidden="0" customWidth="1"/>
    <x:col min="4" max="4" width="25" hidden="0" customWidth="1"/>
    <x:col min="5" max="5" width="20" hidden="0" customWidth="1"/>
    <x:col min="6" max="6" width="24" hidden="0" customWidth="1"/>
    <x:col min="7" max="7" width="14" hidden="0" customWidth="1"/>
    <x:col min="8" max="8" width="25" hidden="0" customWidth="1"/>
  </x:cols>
  <x:sheetData>
    <x:row r="1" ht="38" customHeight="1">
      <x:c r="A1" s="5" t="str">
        <x:v>KenTender documentation control</x:v>
      </x:c>
      <x:c r="B1" s="5"/>
      <x:c r="C1" s="5"/>
      <x:c r="D1" s="5"/>
      <x:c r="E1" s="5"/>
      <x:c r="F1" s="5"/>
      <x:c r="G1" s="5"/>
      <x:c r="H1" s="5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4" customHeight="1">
      <x:c r="A2" s="8" t="str">
        <x:v>Current controlled baseline and delivery status as at 2026-09-25. Requirement approval, implementation, verification and release are tracked independently.</x:v>
      </x:c>
      <x:c r="B2" s="8"/>
      <x:c r="C2" s="8"/>
      <x:c r="D2" s="8"/>
      <x:c r="E2" s="8"/>
      <x:c r="F2" s="8"/>
      <x:c r="G2" s="8"/>
      <x:c r="H2" s="8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10" t="str">
        <x:v>Baseline status</x:v>
      </x:c>
      <x:c r="B4" s="10"/>
      <x:c r="C4" s="10"/>
      <x:c r="D4" s="10"/>
      <x:c r="E4" s="10"/>
      <x:c r="F4" s="10"/>
      <x:c r="G4" s="10"/>
      <x:c r="H4" s="10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>
      <x:c r="A5" s="21" t="str">
        <x:v>Controlled / referenced artifacts</x:v>
      </x:c>
      <x:c r="B5" s="21"/>
      <x:c r="C5" s="21" t="str">
        <x:v>Approved requirements</x:v>
      </x:c>
      <x:c r="D5" s="21"/>
      <x:c r="E5" s="21" t="str">
        <x:v>Awaiting owner approval</x:v>
      </x:c>
      <x:c r="F5" s="21"/>
      <x:c r="G5" s="21" t="str">
        <x:v>Open delivery items</x:v>
      </x:c>
      <x:c r="H5" s="21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20" t="n">
        <x:f>COUNTA(Documents!A6:A29)</x:f>
        <x:v>24</x:v>
      </x:c>
      <x:c r="B6" s="20"/>
      <x:c r="C6" s="20" t="n">
        <x:f>COUNTIF(Documents!F6:F29,"Approved requirement")</x:f>
        <x:v>8</x:v>
      </x:c>
      <x:c r="D6" s="20"/>
      <x:c r="E6" s="20" t="n">
        <x:f>COUNTIF(Documents!F6:F29,"Project Owner review")</x:f>
        <x:v>8</x:v>
      </x:c>
      <x:c r="F6" s="20"/>
      <x:c r="G6" s="20" t="n">
        <x:f>COUNTIF(Delivery!I6:I49,"Not started")+COUNTIF(Delivery!I6:I49,"Planned")</x:f>
        <x:v>44</x:v>
      </x:c>
      <x:c r="H6" s="20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>
      <x:c r="A7" s="20"/>
      <x:c r="B7" s="20"/>
      <x:c r="C7" s="20"/>
      <x:c r="D7" s="20"/>
      <x:c r="E7" s="20"/>
      <x:c r="F7" s="20"/>
      <x:c r="G7" s="20"/>
      <x:c r="H7" s="20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>
      <x:c r="A9" s="10" t="str">
        <x:v>Immediate attention</x:v>
      </x:c>
      <x:c r="B9" s="10"/>
      <x:c r="C9" s="10"/>
      <x:c r="D9" s="10"/>
      <x:c r="E9" s="10"/>
      <x:c r="F9" s="10"/>
      <x:c r="G9" s="10"/>
      <x:c r="H9" s="10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>
      <x:c r="A10" s="23" t="str">
        <x:v>Finding</x:v>
      </x:c>
      <x:c r="B10" s="23" t="str">
        <x:v>Severity</x:v>
      </x:c>
      <x:c r="C10" s="23" t="str">
        <x:v>Type</x:v>
      </x:c>
      <x:c r="D10" s="23" t="str">
        <x:v>Action</x:v>
      </x:c>
      <x:c r="E10" s="23" t="str">
        <x:v>Owner</x:v>
      </x:c>
      <x:c r="F10" s="23" t="str">
        <x:v>Blocks</x:v>
      </x:c>
      <x:c r="G10" s="23" t="str">
        <x:v>Status</x:v>
      </x:c>
      <x:c r="H10" s="23" t="str">
        <x:v>Evidence</x:v>
      </x:c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48" customHeight="1">
      <x:c r="A11" s="24" t="str">
        <x:v>AUD-001</x:v>
      </x:c>
      <x:c r="B11" s="24" t="str">
        <x:v>High</x:v>
      </x:c>
      <x:c r="C11" s="24" t="str">
        <x:v>Approval</x:v>
      </x:c>
      <x:c r="D11" s="24" t="str">
        <x:v>Approve or return with changes.</x:v>
      </x:c>
      <x:c r="E11" s="24" t="str">
        <x:v>Project Owner</x:v>
      </x:c>
      <x:c r="F11" s="24" t="str">
        <x:v>Gate 1 configuration implementation</x:v>
      </x:c>
      <x:c r="G11" s="24" t="str">
        <x:v>Open</x:v>
      </x:c>
      <x:c r="H11" s="24" t="str">
        <x:v>CFG-CHG-002 v0.16 control block</x:v>
      </x:c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48" customHeight="1">
      <x:c r="A12" s="24" t="str">
        <x:v>AUD-002</x:v>
      </x:c>
      <x:c r="B12" s="24" t="str">
        <x:v>High</x:v>
      </x:c>
      <x:c r="C12" s="24" t="str">
        <x:v>Approval</x:v>
      </x:c>
      <x:c r="D12" s="24" t="str">
        <x:v>Complete final cross-document review and approve.</x:v>
      </x:c>
      <x:c r="E12" s="24" t="str">
        <x:v>Project Owner</x:v>
      </x:c>
      <x:c r="F12" s="24" t="str">
        <x:v>Authoritative Tender implementation baseline</x:v>
      </x:c>
      <x:c r="G12" s="24" t="str">
        <x:v>Open</x:v>
      </x:c>
      <x:c r="H12" s="24" t="str">
        <x:v>TPR-CHG-001 v0.11 control block</x:v>
      </x:c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48" customHeight="1">
      <x:c r="A13" s="24" t="str">
        <x:v>AUD-003</x:v>
      </x:c>
      <x:c r="B13" s="24" t="str">
        <x:v>High</x:v>
      </x:c>
      <x:c r="C13" s="24" t="str">
        <x:v>Approval</x:v>
      </x:c>
      <x:c r="D13" s="24" t="str">
        <x:v>Approve after Gate 1 reconciliation.</x:v>
      </x:c>
      <x:c r="E13" s="24" t="str">
        <x:v>Project Owner</x:v>
      </x:c>
      <x:c r="F13" s="24" t="str">
        <x:v>Authoritative Bid Submission implementation baseline</x:v>
      </x:c>
      <x:c r="G13" s="24" t="str">
        <x:v>Open</x:v>
      </x:c>
      <x:c r="H13" s="24" t="str">
        <x:v>BDS-CHG-001 v0.7 control block</x:v>
      </x:c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48" customHeight="1">
      <x:c r="A14" s="24" t="str">
        <x:v>AUD-004</x:v>
      </x:c>
      <x:c r="B14" s="24" t="str">
        <x:v>High</x:v>
      </x:c>
      <x:c r="C14" s="24" t="str">
        <x:v>Approval</x:v>
      </x:c>
      <x:c r="D14" s="24" t="str">
        <x:v>Approve curation and release standard.</x:v>
      </x:c>
      <x:c r="E14" s="24" t="str">
        <x:v>Project Owner</x:v>
      </x:c>
      <x:c r="F14" s="24" t="str">
        <x:v>Rebuilt response-capable tender bundle</x:v>
      </x:c>
      <x:c r="G14" s="24" t="str">
        <x:v>Open</x:v>
      </x:c>
      <x:c r="H14" s="24" t="str">
        <x:v>STD-TPL-001 v0.10 control block</x:v>
      </x:c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48" customHeight="1">
      <x:c r="A15" s="24" t="str">
        <x:v>AUD-005</x:v>
      </x:c>
      <x:c r="B15" s="24" t="str">
        <x:v>High</x:v>
      </x:c>
      <x:c r="C15" s="24" t="str">
        <x:v>Approval</x:v>
      </x:c>
      <x:c r="D15" s="24" t="str">
        <x:v>Approve as the current Gate 1 delivery control.</x:v>
      </x:c>
      <x:c r="E15" s="24" t="str">
        <x:v>Project Owner</x:v>
      </x:c>
      <x:c r="F15" s="24" t="str">
        <x:v>Single authoritative change matrix</x:v>
      </x:c>
      <x:c r="G15" s="24" t="str">
        <x:v>Open</x:v>
      </x:c>
      <x:c r="H15" s="24" t="str">
        <x:v>G1-REG-001 v1.1 control block</x:v>
      </x:c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48" customHeight="1">
      <x:c r="A16" s="24" t="str">
        <x:v>AUD-006</x:v>
      </x:c>
      <x:c r="B16" s="24" t="str">
        <x:v>Critical</x:v>
      </x:c>
      <x:c r="C16" s="24" t="str">
        <x:v>Release gate</x:v>
      </x:c>
      <x:c r="D16" s="24" t="str">
        <x:v>Rebuild, verify and approve the exact manifest.</x:v>
      </x:c>
      <x:c r="E16" s="24" t="str">
        <x:v>Controlled release owner</x:v>
      </x:c>
      <x:c r="F16" s="24" t="str">
        <x:v>Tender publication and production Bid Submission</x:v>
      </x:c>
      <x:c r="G16" s="24" t="str">
        <x:v>Open</x:v>
      </x:c>
      <x:c r="H16" s="24" t="str">
        <x:v>STD-TPL-001 v0.10; candidate ZIP</x:v>
      </x:c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48" customHeight="1">
      <x:c r="A17" s="24" t="str">
        <x:v>AUD-007</x:v>
      </x:c>
      <x:c r="B17" s="24" t="str">
        <x:v>Critical</x:v>
      </x:c>
      <x:c r="C17" s="24" t="str">
        <x:v>Operating gate</x:v>
      </x:c>
      <x:c r="D17" s="24" t="str">
        <x:v>Approve support, monitoring, recovery, authority and incident arrangements; then enable the deployment flag.</x:v>
      </x:c>
      <x:c r="E17" s="24" t="str">
        <x:v>Project Owner / Operations</x:v>
      </x:c>
      <x:c r="F17" s="24" t="str">
        <x:v>Production submission</x:v>
      </x:c>
      <x:c r="G17" s="24" t="str">
        <x:v>Open</x:v>
      </x:c>
      <x:c r="H17" s="24" t="str">
        <x:v>BDS-CHG-001 v0.7; G1-REG-001 v1.1</x:v>
      </x:c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48" customHeight="1">
      <x:c r="A18" s="24" t="str">
        <x:v>AUD-008</x:v>
      </x:c>
      <x:c r="B18" s="24" t="str">
        <x:v>High</x:v>
      </x:c>
      <x:c r="C18" s="24" t="str">
        <x:v>Reconciliation</x:v>
      </x:c>
      <x:c r="D18" s="24" t="str">
        <x:v>Issue a reconciled fixture version before integrated verification.</x:v>
      </x:c>
      <x:c r="E18" s="24" t="str">
        <x:v>Requirements owner</x:v>
      </x:c>
      <x:c r="F18" s="24" t="str">
        <x:v>Reliable end-to-end seed tests</x:v>
      </x:c>
      <x:c r="G18" s="24" t="str">
        <x:v>Open</x:v>
      </x:c>
      <x:c r="H18" s="24" t="str">
        <x:v>SEED-001 v1.3 compared with current baseline</x:v>
      </x:c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48" customHeight="1">
      <x:c r="A19" s="24" t="str">
        <x:v>AUD-009</x:v>
      </x:c>
      <x:c r="B19" s="24" t="str">
        <x:v>Medium</x:v>
      </x:c>
      <x:c r="C19" s="24" t="str">
        <x:v>Stale reference</x:v>
      </x:c>
      <x:c r="D19" s="24" t="str">
        <x:v>Refresh document references without changing the approved legal decision.</x:v>
      </x:c>
      <x:c r="E19" s="24" t="str">
        <x:v>Requirements owner</x:v>
      </x:c>
      <x:c r="F19" s="24" t="str">
        <x:v>Clean reservation implementation handoff</x:v>
      </x:c>
      <x:c r="G19" s="24" t="str">
        <x:v>Open</x:v>
      </x:c>
      <x:c r="H19" s="24" t="str">
        <x:v>RES-IMP-001 v1.0 references</x:v>
      </x:c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48" customHeight="1">
      <x:c r="A20" s="24" t="str">
        <x:v>AUD-010</x:v>
      </x:c>
      <x:c r="B20" s="24" t="str">
        <x:v>High</x:v>
      </x:c>
      <x:c r="C20" s="24" t="str">
        <x:v>Missing controlled file</x:v>
      </x:c>
      <x:c r="D20" s="24" t="str">
        <x:v>Locate or admit the exact version and record its authority.</x:v>
      </x:c>
      <x:c r="E20" s="24" t="str">
        <x:v>Documentation owner</x:v>
      </x:c>
      <x:c r="F20" s="24" t="str">
        <x:v>Complete template/tender/bid traceability</x:v>
      </x:c>
      <x:c r="G20" s="24" t="str">
        <x:v>Open</x:v>
      </x:c>
      <x:c r="H20" s="24" t="str">
        <x:v>References in current controlled documents</x:v>
      </x:c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48" customHeight="1">
      <x:c r="A21" s="24" t="str">
        <x:v>AUD-011</x:v>
      </x:c>
      <x:c r="B21" s="24" t="str">
        <x:v>High</x:v>
      </x:c>
      <x:c r="C21" s="24" t="str">
        <x:v>Missing controlled file</x:v>
      </x:c>
      <x:c r="D21" s="24" t="str">
        <x:v>Locate or admit the exact version before integrated stress testing.</x:v>
      </x:c>
      <x:c r="E21" s="24" t="str">
        <x:v>Documentation owner</x:v>
      </x:c>
      <x:c r="F21" s="24" t="str">
        <x:v>Gate 1 integrated verification</x:v>
      </x:c>
      <x:c r="G21" s="24" t="str">
        <x:v>Open</x:v>
      </x:c>
      <x:c r="H21" s="24" t="str">
        <x:v>References in current controlled documents</x:v>
      </x:c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 ht="48" customHeight="1">
      <x:c r="A22" s="24" t="str">
        <x:v>AUD-013</x:v>
      </x:c>
      <x:c r="B22" s="24" t="str">
        <x:v>High</x:v>
      </x:c>
      <x:c r="C22" s="24" t="str">
        <x:v>Cross-module adoption</x:v>
      </x:c>
      <x:c r="D22" s="24" t="str">
        <x:v>Adopt the shared contract in each active module and run persona/state conformance tests.</x:v>
      </x:c>
      <x:c r="E22" s="24" t="str">
        <x:v>Requirements and implementation owners</x:v>
      </x:c>
      <x:c r="F22" s="24" t="str">
        <x:v>Usability-complete Gate 1 verification</x:v>
      </x:c>
      <x:c r="G22" s="24" t="str">
        <x:v>Open</x:v>
      </x:c>
      <x:c r="H22" s="24" t="str">
        <x:v>KT-STD-001 v1.8; PLN-CHG-001 v1.27; Workflow Guidance Standard</x:v>
      </x:c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48" customHeight="1">
      <x:c r="A23" s="24" t="str">
        <x:v>AUD-014</x:v>
      </x:c>
      <x:c r="B23" s="24" t="str">
        <x:v>High</x:v>
      </x:c>
      <x:c r="C23" s="24" t="str">
        <x:v>Implementation handoff</x:v>
      </x:c>
      <x:c r="D23" s="24" t="str">
        <x:v>Issue a controlled SEED successor before integrated implementation verification.</x:v>
      </x:c>
      <x:c r="E23" s="24" t="str">
        <x:v>Requirements owner</x:v>
      </x:c>
      <x:c r="F23" s="24" t="str">
        <x:v>One reproducible end-to-end test baseline</x:v>
      </x:c>
      <x:c r="G23" s="24" t="str">
        <x:v>Open</x:v>
      </x:c>
      <x:c r="H23" s="24" t="str">
        <x:v>G1-REG-001 v1.1; SEED-001 v1.3 compared with current baseline</x:v>
      </x:c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 ht="48" customHeight="1">
      <x:c r="A24" s="24" t="str">
        <x:v>AUD-015</x:v>
      </x:c>
      <x:c r="B24" s="24" t="str">
        <x:v>High</x:v>
      </x:c>
      <x:c r="C24" s="24" t="str">
        <x:v>Approval</x:v>
      </x:c>
      <x:c r="D24" s="24" t="str">
        <x:v>Review and approve with STD-TPL-001 v0.10 before Claude Code implements the template runtime.</x:v>
      </x:c>
      <x:c r="E24" s="24" t="str">
        <x:v>Project Owner</x:v>
      </x:c>
      <x:c r="F24" s="24" t="str">
        <x:v>Authoritative STD runtime implementation</x:v>
      </x:c>
      <x:c r="G24" s="24" t="str">
        <x:v>Open</x:v>
      </x:c>
      <x:c r="H24" s="24" t="str">
        <x:v>STD-TPL-IMP-001 v1.0 control block</x:v>
      </x:c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 ht="48" customHeight="1">
      <x:c r="A25" s="24" t="str">
        <x:v>AUD-016</x:v>
      </x:c>
      <x:c r="B25" s="24" t="str">
        <x:v>Medium</x:v>
      </x:c>
      <x:c r="C25" s="24" t="str">
        <x:v>Approval</x:v>
      </x:c>
      <x:c r="D25" s="24" t="str">
        <x:v>Approve or return the narrow inspection amendment.</x:v>
      </x:c>
      <x:c r="E25" s="24" t="str">
        <x:v>Project Owner</x:v>
      </x:c>
      <x:c r="F25" s="24" t="str">
        <x:v>Bounded procurement-user release visibility</x:v>
      </x:c>
      <x:c r="G25" s="24" t="str">
        <x:v>Open</x:v>
      </x:c>
      <x:c r="H25" s="24" t="str">
        <x:v>AUTH-ADR-001 v1.10 control block</x:v>
      </x:c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10" t="str">
        <x:v>Control rules</x:v>
      </x:c>
      <x:c r="B27" s="10"/>
      <x:c r="C27" s="10"/>
      <x:c r="D27" s="10"/>
      <x:c r="E27" s="10"/>
      <x:c r="F27" s="10"/>
      <x:c r="G27" s="10"/>
      <x:c r="H27" s="10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 ht="38" customHeight="1">
      <x:c r="A28" s="30" t="str">
        <x:v>1</x:v>
      </x:c>
      <x:c r="B28" s="31" t="str">
        <x:v>One current authority</x:v>
      </x:c>
      <x:c r="C28" s="32" t="str">
        <x:v>Only the version listed as current controls implementation. Older documents remain historical.</x:v>
      </x:c>
      <x:c r="D28" s="32" t="str"/>
      <x:c r="E28" s="32" t="str"/>
      <x:c r="F28" s="32" t="str"/>
      <x:c r="G28" s="32" t="str"/>
      <x:c r="H28" s="32" t="str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 ht="38" customHeight="1">
      <x:c r="A29" s="30" t="str">
        <x:v>2</x:v>
      </x:c>
      <x:c r="B29" s="31" t="str">
        <x:v>Four separate states</x:v>
      </x:c>
      <x:c r="C29" s="32" t="str">
        <x:v>Requirement approval never proves implementation, verification or production release.</x:v>
      </x:c>
      <x:c r="D29" s="32" t="str"/>
      <x:c r="E29" s="32" t="str"/>
      <x:c r="F29" s="32" t="str"/>
      <x:c r="G29" s="32" t="str"/>
      <x:c r="H29" s="32" t="str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 ht="38" customHeight="1">
      <x:c r="A30" s="30" t="str">
        <x:v>3</x:v>
      </x:c>
      <x:c r="B30" s="31" t="str">
        <x:v>Interfaces are first-class</x:v>
      </x:c>
      <x:c r="C30" s="32" t="str">
        <x:v>A module is not complete until every upstream and downstream contract is closed and tested.</x:v>
      </x:c>
      <x:c r="D30" s="32" t="str"/>
      <x:c r="E30" s="32" t="str"/>
      <x:c r="F30" s="32" t="str"/>
      <x:c r="G30" s="32" t="str"/>
      <x:c r="H30" s="32" t="str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 ht="38" customHeight="1">
      <x:c r="A31" s="30" t="str">
        <x:v>4</x:v>
      </x:c>
      <x:c r="B31" s="31" t="str">
        <x:v>Future work remains visible</x:v>
      </x:c>
      <x:c r="C31" s="32" t="str">
        <x:v>Deferred capabilities stay recorded with a boundary and trigger; they are not hidden placeholders in the current UI.</x:v>
      </x:c>
      <x:c r="D31" s="32" t="str"/>
      <x:c r="E31" s="32" t="str"/>
      <x:c r="F31" s="32" t="str"/>
      <x:c r="G31" s="32" t="str"/>
      <x:c r="H31" s="32" t="str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</x:sheetData>
  <x:mergeCells>
    <x:mergeCell ref="A1:H1"/>
    <x:mergeCell ref="A2:H2"/>
    <x:mergeCell ref="A4:H4"/>
    <x:mergeCell ref="A5:B5"/>
    <x:mergeCell ref="C5:D5"/>
    <x:mergeCell ref="E5:F5"/>
    <x:mergeCell ref="G5:H5"/>
    <x:mergeCell ref="A6:B7"/>
    <x:mergeCell ref="C6:D7"/>
    <x:mergeCell ref="E6:F7"/>
    <x:mergeCell ref="G6:H7"/>
    <x:mergeCell ref="A9:H9"/>
    <x:mergeCell ref="A27:H27"/>
    <x:mergeCell ref="C28:H28"/>
    <x:mergeCell ref="C29:H29"/>
    <x:mergeCell ref="C30:H30"/>
    <x:mergeCell ref="C31:H31"/>
  </x:mergeCells>
  <x:conditionalFormatting sqref="B11:B25">
    <x:cfRule type="containsText" dxfId="0" priority="1" operator="containsText" text="Critical"/>
    <x:cfRule type="containsText" dxfId="1" priority="2" operator="containsText" text="High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5" hidden="0" customWidth="1"/>
    <x:col min="2" max="2" width="32" hidden="0" customWidth="1"/>
    <x:col min="3" max="3" width="10" hidden="0" customWidth="1"/>
    <x:col min="4" max="4" width="23" hidden="0" customWidth="1"/>
    <x:col min="5" max="5" width="20" hidden="0" customWidth="1"/>
    <x:col min="6" max="6" width="21" hidden="0" customWidth="1"/>
    <x:col min="7" max="7" width="14" hidden="0" customWidth="1"/>
    <x:col min="8" max="8" width="25" hidden="0" customWidth="1"/>
    <x:col min="9" max="9" width="18" hidden="0" customWidth="1"/>
    <x:col min="10" max="10" width="16" hidden="0" customWidth="1"/>
    <x:col min="11" max="11" width="14" hidden="0" customWidth="1"/>
    <x:col min="12" max="12" width="12" hidden="0" customWidth="1"/>
    <x:col min="13" max="13" width="42" hidden="0" customWidth="1"/>
    <x:col min="14" max="14" width="36" hidden="0" customWidth="1"/>
    <x:col min="15" max="15" width="42" hidden="0" customWidth="1"/>
    <x:col min="16" max="16" width="42" hidden="0" customWidth="1"/>
  </x:cols>
  <x:sheetData>
    <x:row r="1" ht="38" customHeight="1">
      <x:c r="A1" s="5" t="str">
        <x:v>Controlled documents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4" customHeight="1">
      <x:c r="A2" s="8" t="str">
        <x:v>Current authorities only. Historical and superseded versions are excluded from this working baseline. Filter by module or any of the four independent status dimensions.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6" customHeight="1">
      <x:c r="A5" s="35" t="str">
        <x:v>Document ID</x:v>
      </x:c>
      <x:c r="B5" s="35" t="str">
        <x:v>Title</x:v>
      </x:c>
      <x:c r="C5" s="35" t="str">
        <x:v>Version</x:v>
      </x:c>
      <x:c r="D5" s="35" t="str">
        <x:v>Module</x:v>
      </x:c>
      <x:c r="E5" s="35" t="str">
        <x:v>Category</x:v>
      </x:c>
      <x:c r="F5" s="35" t="str">
        <x:v>Requirement status</x:v>
      </x:c>
      <x:c r="G5" s="35" t="str">
        <x:v>Approval date</x:v>
      </x:c>
      <x:c r="H5" s="35" t="str">
        <x:v>Supersedes / basis</x:v>
      </x:c>
      <x:c r="I5" s="35" t="str">
        <x:v>Implementation</x:v>
      </x:c>
      <x:c r="J5" s="35" t="str">
        <x:v>Verification</x:v>
      </x:c>
      <x:c r="K5" s="35" t="str">
        <x:v>Release</x:v>
      </x:c>
      <x:c r="L5" s="35" t="str">
        <x:v>Normative</x:v>
      </x:c>
      <x:c r="M5" s="35" t="str">
        <x:v>Scope</x:v>
      </x:c>
      <x:c r="N5" s="35" t="str">
        <x:v>Dependencies</x:v>
      </x:c>
      <x:c r="O5" s="35" t="str">
        <x:v>Required action</x:v>
      </x:c>
      <x:c r="P5" s="35" t="str">
        <x:v>Source</x:v>
      </x:c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2" t="str">
        <x:v>STR-CHG-001</x:v>
      </x:c>
      <x:c r="B6" s="24" t="str">
        <x:v>Clean Strategy Alignment</x:v>
      </x:c>
      <x:c r="C6" s="2" t="str">
        <x:v>1.8</x:v>
      </x:c>
      <x:c r="D6" s="24" t="str">
        <x:v>Strategy Alignment</x:v>
      </x:c>
      <x:c r="E6" s="24" t="str">
        <x:v>Module requirements</x:v>
      </x:c>
      <x:c r="F6" s="24" t="str">
        <x:v>Approved requirement</x:v>
      </x:c>
      <x:c r="G6" s="36" t="n">
        <x:v>46278</x:v>
      </x:c>
      <x:c r="H6" s="24" t="str">
        <x:v>v1.7 and earlier</x:v>
      </x:c>
      <x:c r="I6" s="24" t="str">
        <x:v>Not evidenced</x:v>
      </x:c>
      <x:c r="J6" s="24" t="str">
        <x:v>Not evidenced</x:v>
      </x:c>
      <x:c r="K6" s="24" t="str">
        <x:v>Not applicable</x:v>
      </x:c>
      <x:c r="L6" s="2" t="str">
        <x:v>Yes</x:v>
      </x:c>
      <x:c r="M6" s="24" t="str">
        <x:v>Strategy objectives and accepted alignment evidence consumed by Planning.</x:v>
      </x:c>
      <x:c r="N6" s="24" t="str">
        <x:v>KT-STD-001; AUTH-ADR-001</x:v>
      </x:c>
      <x:c r="O6" s="24" t="str">
        <x:v>Retain as current controlled baseline.</x:v>
      </x:c>
      <x:c r="P6" s="24" t="str">
        <x:v>https://chatgpt.com/api/library/files/libfile_f5502a30807c8191b8d3f2910b96a9dc/download</x:v>
      </x:c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44" customHeight="1">
      <x:c r="A7" s="2" t="str">
        <x:v>BUD-CHG-001</x:v>
      </x:c>
      <x:c r="B7" s="24" t="str">
        <x:v>Clean Budget and Funding</x:v>
      </x:c>
      <x:c r="C7" s="2" t="str">
        <x:v>1.11</x:v>
      </x:c>
      <x:c r="D7" s="24" t="str">
        <x:v>Budget and Funding</x:v>
      </x:c>
      <x:c r="E7" s="24" t="str">
        <x:v>Module requirements</x:v>
      </x:c>
      <x:c r="F7" s="24" t="str">
        <x:v>Approved requirement</x:v>
      </x:c>
      <x:c r="G7" s="36" t="n">
        <x:v>46290</x:v>
      </x:c>
      <x:c r="H7" s="24" t="str">
        <x:v>v1.10 approved 23 September 2026; v1.9 and earlier</x:v>
      </x:c>
      <x:c r="I7" s="24" t="str">
        <x:v>Not evidenced</x:v>
      </x:c>
      <x:c r="J7" s="24" t="str">
        <x:v>Not evidenced</x:v>
      </x:c>
      <x:c r="K7" s="24" t="str">
        <x:v>Not applicable</x:v>
      </x:c>
      <x:c r="L7" s="2" t="str">
        <x:v>Yes</x:v>
      </x:c>
      <x:c r="M7" s="24" t="str">
        <x:v>Funding ceilings, affordability, reservations and commitments, plus the Budget-owned receiving side of a Planning budget revision request. Budget remains separate from the statutory APP reservation denominator.</x:v>
      </x:c>
      <x:c r="N7" s="24" t="str">
        <x:v>PLN-CHG-001 v1.27; LAW-REG-001 v1.2; KT-STD-001 v1.8</x:v>
      </x:c>
      <x:c r="O7" s="24" t="str">
        <x:v>Implement the budget revision request receive, decline, withdraw and outcome contracts without treating the request as a revision, reservation or amount change.</x:v>
      </x:c>
      <x:c r="P7" s="24" t="str">
        <x:v>https://chatgpt.com/api/library/files/libfile_9ee7baefbc088191af5a27ce1d7f7aff/download</x:v>
      </x:c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44" customHeight="1">
      <x:c r="A8" s="2" t="str">
        <x:v>NDS-CHG-001</x:v>
      </x:c>
      <x:c r="B8" s="24" t="str">
        <x:v>Clean Departmental Needs</x:v>
      </x:c>
      <x:c r="C8" s="2" t="str">
        <x:v>1.14</x:v>
      </x:c>
      <x:c r="D8" s="24" t="str">
        <x:v>Departmental Needs</x:v>
      </x:c>
      <x:c r="E8" s="24" t="str">
        <x:v>Module requirements</x:v>
      </x:c>
      <x:c r="F8" s="24" t="str">
        <x:v>Approved requirement</x:v>
      </x:c>
      <x:c r="G8" s="36" t="n">
        <x:v>46286</x:v>
      </x:c>
      <x:c r="H8" s="24" t="str">
        <x:v>v1.13 and earlier</x:v>
      </x:c>
      <x:c r="I8" s="24" t="str">
        <x:v>Not evidenced</x:v>
      </x:c>
      <x:c r="J8" s="24" t="str">
        <x:v>Not evidenced</x:v>
      </x:c>
      <x:c r="K8" s="24" t="str">
        <x:v>Not applicable</x:v>
      </x:c>
      <x:c r="L8" s="2" t="str">
        <x:v>Yes</x:v>
      </x:c>
      <x:c r="M8" s="24" t="str">
        <x:v>Simple need capture, review and acceptance; consultation is optional and is not a gate.</x:v>
      </x:c>
      <x:c r="N8" s="24" t="str">
        <x:v>PLN-CHG-001; KT-STD-001</x:v>
      </x:c>
      <x:c r="O8" s="24" t="str">
        <x:v>Retain as current controlled baseline.</x:v>
      </x:c>
      <x:c r="P8" s="24" t="str">
        <x:v>https://chatgpt.com/api/library/files/libfile_43204a8a82548191a05d0c20cabf0283/download</x:v>
      </x:c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44" customHeight="1">
      <x:c r="A9" s="2" t="str">
        <x:v>PLN-CHG-001</x:v>
      </x:c>
      <x:c r="B9" s="24" t="str">
        <x:v>Clean Procurement Planning</x:v>
      </x:c>
      <x:c r="C9" s="2" t="str">
        <x:v>1.27</x:v>
      </x:c>
      <x:c r="D9" s="24" t="str">
        <x:v>Procurement Planning</x:v>
      </x:c>
      <x:c r="E9" s="24" t="str">
        <x:v>Module requirements</x:v>
      </x:c>
      <x:c r="F9" s="24" t="str">
        <x:v>Approved requirement</x:v>
      </x:c>
      <x:c r="G9" s="36" t="n">
        <x:v>46290</x:v>
      </x:c>
      <x:c r="H9" s="24" t="str">
        <x:v>v1.26 approved 25 September 2026; v1.25 approved 23 September 2026; all earlier Planning specifications</x:v>
      </x:c>
      <x:c r="I9" s="24" t="str">
        <x:v>Not implemented</x:v>
      </x:c>
      <x:c r="J9" s="24" t="str">
        <x:v>Not evidenced</x:v>
      </x:c>
      <x:c r="K9" s="24" t="str">
        <x:v>Not applicable</x:v>
      </x:c>
      <x:c r="L9" s="2" t="str">
        <x:v>Yes</x:v>
      </x:c>
      <x:c r="M9" s="24" t="str">
        <x:v>Complete Planning authority including the current-complete-APP reservation denominator, next-step and journey contract, corrected funding-request blockers, Planning-side budget revision request, hand-off register and Purchase-ready-for-requisition item.</x:v>
      </x:c>
      <x:c r="N9" s="24" t="str">
        <x:v>STR-CHG-001 v1.8; BUD-CHG-001 v1.11; NDS-CHG-001 v1.14; CFG-CHG-002 v0.13+; REQ-CHG-001 v1.12; KT-STD-001 v1.8</x:v>
      </x:c>
      <x:c r="O9" s="24" t="str">
        <x:v>Implement the approved v1.27 runtime and design contracts, including blocker explanations, budget revision hand-off and no-dead-end acceptance.</x:v>
      </x:c>
      <x:c r="P9" s="24" t="str">
        <x:v>https://chatgpt.com/api/library/files/libfile_efd27d9b04ac8191bb06e17aef384d2e/download</x:v>
      </x:c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44" customHeight="1">
      <x:c r="A10" s="2" t="str">
        <x:v>REQ-CHG-001</x:v>
      </x:c>
      <x:c r="B10" s="24" t="str">
        <x:v>Structured Procurement Requisitions</x:v>
      </x:c>
      <x:c r="C10" s="2" t="str">
        <x:v>1.12</x:v>
      </x:c>
      <x:c r="D10" s="24" t="str">
        <x:v>Procurement Requisitions</x:v>
      </x:c>
      <x:c r="E10" s="24" t="str">
        <x:v>Module requirements</x:v>
      </x:c>
      <x:c r="F10" s="24" t="str">
        <x:v>Approved requirement</x:v>
      </x:c>
      <x:c r="G10" s="36" t="n">
        <x:v>46290</x:v>
      </x:c>
      <x:c r="H10" s="24" t="str">
        <x:v>v1.11 approved 24 September 2026; v1.9 and earlier; v1.10 remains withdrawn</x:v>
      </x:c>
      <x:c r="I10" s="24" t="str">
        <x:v>Not evidenced</x:v>
      </x:c>
      <x:c r="J10" s="24" t="str">
        <x:v>Not evidenced</x:v>
      </x:c>
      <x:c r="K10" s="24" t="str">
        <x:v>Not applicable</x:v>
      </x:c>
      <x:c r="L10" s="2" t="str">
        <x:v>Yes</x:v>
      </x:c>
      <x:c r="M10" s="24" t="str">
        <x:v>Structured requisition preparation, Planning-created Purchase ready for requisition hand-off, Budget reservation at authorisation and authorised handoff to Tenders.</x:v>
      </x:c>
      <x:c r="N10" s="24" t="str">
        <x:v>PLN-CHG-001 v1.27; BUD-CHG-001 v1.11; TPR-CHG-001; STD-TPL-001; STD-STD-001 v1.1</x:v>
      </x:c>
      <x:c r="O10" s="24" t="str">
        <x:v>Implement the REQ-owned ready-to-start item and verify exact Planning, Budget and Tender contracts.</x:v>
      </x:c>
      <x:c r="P10" s="24" t="str">
        <x:v>https://chatgpt.com/api/library/files/libfile_7fc3b6d8360c8191b1156d352993f7c3/download</x:v>
      </x:c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44" customHeight="1">
      <x:c r="A11" s="2" t="str">
        <x:v>CFG-CHG-002</x:v>
      </x:c>
      <x:c r="B11" s="24" t="str">
        <x:v>Site Configuration and System Setup</x:v>
      </x:c>
      <x:c r="C11" s="2" t="str">
        <x:v>0.16</x:v>
      </x:c>
      <x:c r="D11" s="24" t="str">
        <x:v>System Setup</x:v>
      </x:c>
      <x:c r="E11" s="24" t="str">
        <x:v>Module requirements</x:v>
      </x:c>
      <x:c r="F11" s="24" t="str">
        <x:v>Project Owner review</x:v>
      </x:c>
      <x:c r="G11" s="36"/>
      <x:c r="H11" s="24" t="str">
        <x:v>v0.15 on approval; approved baseline v0.13 remains effective until then</x:v>
      </x:c>
      <x:c r="I11" s="24" t="str">
        <x:v>Planned</x:v>
      </x:c>
      <x:c r="J11" s="24" t="str">
        <x:v>Not evidenced</x:v>
      </x:c>
      <x:c r="K11" s="24" t="str">
        <x:v>Not applicable</x:v>
      </x:c>
      <x:c r="L11" s="2" t="str">
        <x:v>Proposed</x:v>
      </x:c>
      <x:c r="M11" s="24" t="str">
        <x:v>Site, responsibilities, procurement rules, schedules, STD Templates inspection and supplier portal operating settings.</x:v>
      </x:c>
      <x:c r="N11" s="24" t="str">
        <x:v>AUTH-ADR-001; PLN-CHG-001; TPR-CHG-001; BDS-CHG-001; STD-TPL-001</x:v>
      </x:c>
      <x:c r="O11" s="24" t="str">
        <x:v>Project Owner approval, then implement public-portal and STD Templates settings.</x:v>
      </x:c>
      <x:c r="P11" s="24" t="str">
        <x:v>https://chatgpt.com/api/library/files/libfile_e587a6e7587081918df85fee00004930/download</x:v>
      </x:c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44" customHeight="1">
      <x:c r="A12" s="2" t="str">
        <x:v>TPR-CHG-001</x:v>
      </x:c>
      <x:c r="B12" s="24" t="str">
        <x:v>Tenders</x:v>
      </x:c>
      <x:c r="C12" s="2" t="str">
        <x:v>0.11</x:v>
      </x:c>
      <x:c r="D12" s="24" t="str">
        <x:v>Tender Preparation and Publication</x:v>
      </x:c>
      <x:c r="E12" s="24" t="str">
        <x:v>Module requirements</x:v>
      </x:c>
      <x:c r="F12" s="24" t="str">
        <x:v>Project Owner review</x:v>
      </x:c>
      <x:c r="G12" s="36"/>
      <x:c r="H12" s="24" t="str">
        <x:v>v0.10 on approval</x:v>
      </x:c>
      <x:c r="I12" s="24" t="str">
        <x:v>Planned</x:v>
      </x:c>
      <x:c r="J12" s="24" t="str">
        <x:v>Not evidenced</x:v>
      </x:c>
      <x:c r="K12" s="24" t="str">
        <x:v>Not applicable</x:v>
      </x:c>
      <x:c r="L12" s="2" t="str">
        <x:v>Proposed</x:v>
      </x:c>
      <x:c r="M12" s="24" t="str">
        <x:v>Tender preparation, approval, publication, clarification, candidate notices, addenda and bound STD-release lifecycle.</x:v>
      </x:c>
      <x:c r="N12" s="24" t="str">
        <x:v>REQ-CHG-001 v1.12; CFG-CHG-002 v0.16; STD-TPL-001 v0.10; STD-TPL-IMP-001 v1.0; BDS-CHG-001 v0.7</x:v>
      </x:c>
      <x:c r="O12" s="24" t="str">
        <x:v>Approve v0.11, then implement Available-only binding, Superseded continuation checks and Withdrawn blocking with no automatic rebinding.</x:v>
      </x:c>
      <x:c r="P12" s="24" t="str">
        <x:v>https://chatgpt.com/api/library/files/libfile_2709307394708191ad84161ab0c64d88/download</x:v>
      </x:c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44" customHeight="1">
      <x:c r="A13" s="2" t="str">
        <x:v>BDS-CHG-001</x:v>
      </x:c>
      <x:c r="B13" s="24" t="str">
        <x:v>Supplier Workspace and Electronic Bid Submission</x:v>
      </x:c>
      <x:c r="C13" s="2" t="str">
        <x:v>0.7</x:v>
      </x:c>
      <x:c r="D13" s="24" t="str">
        <x:v>Supplier/Bidder Workspace and Bid Submission</x:v>
      </x:c>
      <x:c r="E13" s="24" t="str">
        <x:v>Module requirements</x:v>
      </x:c>
      <x:c r="F13" s="24" t="str">
        <x:v>Project Owner review</x:v>
      </x:c>
      <x:c r="G13" s="36"/>
      <x:c r="H13" s="24" t="str">
        <x:v>v0.6 on approval</x:v>
      </x:c>
      <x:c r="I13" s="24" t="str">
        <x:v>Planned</x:v>
      </x:c>
      <x:c r="J13" s="24" t="str">
        <x:v>Not evidenced</x:v>
      </x:c>
      <x:c r="K13" s="24" t="str">
        <x:v>Blocked</x:v>
      </x:c>
      <x:c r="L13" s="2" t="str">
        <x:v>Proposed</x:v>
      </x:c>
      <x:c r="M13" s="24" t="str">
        <x:v>Public discovery, supplier access, metadata-driven bid preparation and atomic sealed submission handoff.</x:v>
      </x:c>
      <x:c r="N13" s="24" t="str">
        <x:v>TPR-CHG-001; STD-TPL-001; CFG-CHG-002; AUTH-ADR-001</x:v>
      </x:c>
      <x:c r="O13" s="24" t="str">
        <x:v>Approve requirements; keep production submission disabled until the operating profile and release gates pass.</x:v>
      </x:c>
      <x:c r="P13" s="24" t="str">
        <x:v>https://chatgpt.com/api/library/files/libfile_6a8aca132b408191a8d23c467408ecf4/download</x:v>
      </x:c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44" customHeight="1">
      <x:c r="A14" s="2" t="str">
        <x:v>STD-TPL-001</x:v>
      </x:c>
      <x:c r="B14" s="24" t="str">
        <x:v>IT Equipment Tender Template Curation and Release Pack</x:v>
      </x:c>
      <x:c r="C14" s="2" t="str">
        <x:v>0.10</x:v>
      </x:c>
      <x:c r="D14" s="24" t="str">
        <x:v>STD Templates</x:v>
      </x:c>
      <x:c r="E14" s="24" t="str">
        <x:v>Template standard</x:v>
      </x:c>
      <x:c r="F14" s="24" t="str">
        <x:v>Project Owner review</x:v>
      </x:c>
      <x:c r="G14" s="36"/>
      <x:c r="H14" s="24" t="str">
        <x:v>v0.9 on approval</x:v>
      </x:c>
      <x:c r="I14" s="24" t="str">
        <x:v>Planned</x:v>
      </x:c>
      <x:c r="J14" s="24" t="str">
        <x:v>Pending</x:v>
      </x:c>
      <x:c r="K14" s="24" t="str">
        <x:v>Candidate</x:v>
      </x:c>
      <x:c r="L14" s="2" t="str">
        <x:v>Proposed</x:v>
      </x:c>
      <x:c r="M14" s="24" t="str">
        <x:v>Controlled curation, structured gates, release comparison, administrative inspection, concern capture, shared compiler, renderer abstraction and exact release lifecycle.</x:v>
      </x:c>
      <x:c r="N14" s="24" t="str">
        <x:v>KT-STD-001 v1.8; REQ-CHG-001 v1.12; TPR-CHG-001 v0.11; STD-TPL-IMP-001 v1.0; BDS-CHG-001 v0.7; CFG-CHG-002 v0.16</x:v>
      </x:c>
      <x:c r="O14" s="24" t="str">
        <x:v>Approve v0.10, complete every release asset and gate, rebuild the exact candidate and obtain manifest-level owner approval.</x:v>
      </x:c>
      <x:c r="P14" s="24" t="str">
        <x:v>https://chatgpt.com/api/library/files/libfile_9a03e6ea43d88191938445a1a04d99b1/download</x:v>
      </x:c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44" customHeight="1">
      <x:c r="A15" s="2" t="str">
        <x:v>STD-TPL-IMP-001</x:v>
      </x:c>
      <x:c r="B15" s="24" t="str">
        <x:v>Installed STD Template Runtime</x:v>
      </x:c>
      <x:c r="C15" s="2" t="str">
        <x:v>1.0</x:v>
      </x:c>
      <x:c r="D15" s="24" t="str">
        <x:v>STD Templates</x:v>
      </x:c>
      <x:c r="E15" s="24" t="str">
        <x:v>Implementation authority</x:v>
      </x:c>
      <x:c r="F15" s="24" t="str">
        <x:v>Project Owner review</x:v>
      </x:c>
      <x:c r="G15" s="36"/>
      <x:c r="H15" s="24" t="str">
        <x:v>v0.2 historical pack on approval</x:v>
      </x:c>
      <x:c r="I15" s="24" t="str">
        <x:v>Planned</x:v>
      </x:c>
      <x:c r="J15" s="24" t="str">
        <x:v>Not started</x:v>
      </x:c>
      <x:c r="K15" s="24" t="str">
        <x:v>Not applicable</x:v>
      </x:c>
      <x:c r="L15" s="2" t="str">
        <x:v>Proposed</x:v>
      </x:c>
      <x:c r="M15" s="24" t="str">
        <x:v>Immutable installed-release registry and assets, fail-closed installer, shared compiler, renderer adapters, inspection projections, concerns and lifecycle enforcement.</x:v>
      </x:c>
      <x:c r="N15" s="24" t="str">
        <x:v>STD-TPL-001 v0.10; TPR-CHG-001 v0.11; BDS-CHG-001 v0.7; AUTH-ADR-001 v1.10; KT-STD-001 v1.8</x:v>
      </x:c>
      <x:c r="O15" s="24" t="str">
        <x:v>Approve as the implementation authority and implement before relying on release 1.1 in Tenders or Bid Submission.</x:v>
      </x:c>
      <x:c r="P15" s="24" t="str">
        <x:v>https://chatgpt.com/api/library/files/libfile_686f793d1d8c8191a192135f10ea74e8/download</x:v>
      </x:c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44" customHeight="1">
      <x:c r="A16" s="2" t="str">
        <x:v>KT-STD-001</x:v>
      </x:c>
      <x:c r="B16" s="24" t="str">
        <x:v>Document, Design and Verification Standards</x:v>
      </x:c>
      <x:c r="C16" s="2" t="str">
        <x:v>1.8</x:v>
      </x:c>
      <x:c r="D16" s="24" t="str">
        <x:v>All</x:v>
      </x:c>
      <x:c r="E16" s="24" t="str">
        <x:v>Cross-cutting standard</x:v>
      </x:c>
      <x:c r="F16" s="24" t="str">
        <x:v>Approved requirement</x:v>
      </x:c>
      <x:c r="G16" s="36" t="n">
        <x:v>46290</x:v>
      </x:c>
      <x:c r="H16" s="24" t="str">
        <x:v>v1.7 approved 21 September 2026; v1.6 and earlier remain historical evidence</x:v>
      </x:c>
      <x:c r="I16" s="24" t="str">
        <x:v>Not applicable</x:v>
      </x:c>
      <x:c r="J16" s="24" t="str">
        <x:v>Passed</x:v>
      </x:c>
      <x:c r="K16" s="24" t="str">
        <x:v>Not applicable</x:v>
      </x:c>
      <x:c r="L16" s="2" t="str">
        <x:v>Yes</x:v>
      </x:c>
      <x:c r="M16" s="24" t="str">
        <x:v>Current cross-cutting design and verification authority. Adds the restrained next-step block and journey tracker, server-produced next-step contract, guard reasons, hand-off register, My Work, Home and dead-end conformance test to the v1.7 baseline.</x:v>
      </x:c>
      <x:c r="N16" s="24" t="str">
        <x:v>Workflow Guidance Standard; all controlled change documents</x:v>
      </x:c>
      <x:c r="O16" s="24" t="str">
        <x:v>Apply v1.8 to every new or revised change unit, artboard prompt, implementation contract and release verification.</x:v>
      </x:c>
      <x:c r="P16" s="24" t="str">
        <x:v>https://chatgpt.com/api/library/files/libfile_ed139679ea5c8191bda6f73eed748929/download</x:v>
      </x:c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44" customHeight="1">
      <x:c r="A17" s="2" t="str">
        <x:v>AUTH-ADR-001</x:v>
      </x:c>
      <x:c r="B17" s="24" t="str">
        <x:v>Role-Bound Business Responsibility and Organisational Scope</x:v>
      </x:c>
      <x:c r="C17" s="2" t="str">
        <x:v>1.10</x:v>
      </x:c>
      <x:c r="D17" s="24" t="str">
        <x:v>Identity and Access</x:v>
      </x:c>
      <x:c r="E17" s="24" t="str">
        <x:v>Architecture decision record</x:v>
      </x:c>
      <x:c r="F17" s="24" t="str">
        <x:v>Project Owner review</x:v>
      </x:c>
      <x:c r="G17" s="36"/>
      <x:c r="H17" s="24" t="str">
        <x:v>v1.9 after approval; v1.9 remains effective until then</x:v>
      </x:c>
      <x:c r="I17" s="24" t="str">
        <x:v>Not evidenced</x:v>
      </x:c>
      <x:c r="J17" s="24" t="str">
        <x:v>Not evidenced</x:v>
      </x:c>
      <x:c r="K17" s="24" t="str">
        <x:v>Not applicable</x:v>
      </x:c>
      <x:c r="L17" s="2" t="str">
        <x:v>Proposed</x:v>
      </x:c>
      <x:c r="M17" s="24" t="str">
        <x:v>Approved v1.9 responsibility model plus bounded, non-authoritative STD-template inspection and concern access for Procurement Officer and HOPF.</x:v>
      </x:c>
      <x:c r="N17" s="24" t="str">
        <x:v>CFG-CHG-002 v0.16; STD-TPL-001 v0.10; all role-aware modules</x:v>
      </x:c>
      <x:c r="O17" s="24" t="str">
        <x:v>Approve the narrow v1.10 visibility successor; do not broaden Technical record search or template lifecycle authority.</x:v>
      </x:c>
      <x:c r="P17" s="24" t="str">
        <x:v>https://chatgpt.com/api/library/files/libfile_177096acafa48191a78718d3872b3d79/download</x:v>
      </x:c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44" customHeight="1">
      <x:c r="A18" s="2" t="str">
        <x:v>LAW-REG-001</x:v>
      </x:c>
      <x:c r="B18" s="24" t="str">
        <x:v>Statutory Correction Register</x:v>
      </x:c>
      <x:c r="C18" s="2" t="str">
        <x:v>1.2</x:v>
      </x:c>
      <x:c r="D18" s="24" t="str">
        <x:v>Cross-cutting law</x:v>
      </x:c>
      <x:c r="E18" s="24" t="str">
        <x:v>Statutory register</x:v>
      </x:c>
      <x:c r="F18" s="24" t="str">
        <x:v>Approved requirement</x:v>
      </x:c>
      <x:c r="G18" s="36" t="n">
        <x:v>46288</x:v>
      </x:c>
      <x:c r="H18" s="24" t="str">
        <x:v>v1.1 where corrected</x:v>
      </x:c>
      <x:c r="I18" s="24" t="str">
        <x:v>Not applicable</x:v>
      </x:c>
      <x:c r="J18" s="24" t="str">
        <x:v>Passed</x:v>
      </x:c>
      <x:c r="K18" s="24" t="str">
        <x:v>Not applicable</x:v>
      </x:c>
      <x:c r="L18" s="2" t="str">
        <x:v>Yes</x:v>
      </x:c>
      <x:c r="M18" s="24" t="str">
        <x:v>Controlling legal corrections including the 30% reservation interpretation.</x:v>
      </x:c>
      <x:c r="N18" s="24" t="str">
        <x:v>BUD-CHG-001; PLN-CHG-001; REQ-CHG-001; TPR-CHG-001; BDS-CHG-001</x:v>
      </x:c>
      <x:c r="O18" s="24" t="str">
        <x:v>Use as the legal correction authority during implementation review.</x:v>
      </x:c>
      <x:c r="P18" s="24" t="str">
        <x:v>https://chatgpt.com/api/library/files/libfile_c19ced3db1288191b591bf4e43eb6573/download</x:v>
      </x:c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44" customHeight="1">
      <x:c r="A19" s="2" t="str">
        <x:v>SEED-001</x:v>
      </x:c>
      <x:c r="B19" s="24" t="str">
        <x:v>Harmonized End-to-End Fixture</x:v>
      </x:c>
      <x:c r="C19" s="2" t="str">
        <x:v>1.3</x:v>
      </x:c>
      <x:c r="D19" s="24" t="str">
        <x:v>Cross-module</x:v>
      </x:c>
      <x:c r="E19" s="24" t="str">
        <x:v>Fixture standard</x:v>
      </x:c>
      <x:c r="F19" s="24" t="str">
        <x:v>Approved requirement</x:v>
      </x:c>
      <x:c r="G19" s="36" t="n">
        <x:v>46277</x:v>
      </x:c>
      <x:c r="H19" s="24" t="str">
        <x:v>v1.2 and earlier</x:v>
      </x:c>
      <x:c r="I19" s="24" t="str">
        <x:v>Not evidenced</x:v>
      </x:c>
      <x:c r="J19" s="24" t="str">
        <x:v>Pending</x:v>
      </x:c>
      <x:c r="K19" s="24" t="str">
        <x:v>Not applicable</x:v>
      </x:c>
      <x:c r="L19" s="2" t="str">
        <x:v>Yes</x:v>
      </x:c>
      <x:c r="M19" s="24" t="str">
        <x:v>Shared deterministic actors, dates, values and identities across modules.</x:v>
      </x:c>
      <x:c r="N19" s="24" t="str">
        <x:v>All modules</x:v>
      </x:c>
      <x:c r="O19" s="24" t="str">
        <x:v>Reconcile to the reservation correction and Gate 1 public/vendor documents before integrated verification.</x:v>
      </x:c>
      <x:c r="P19" s="24" t="str">
        <x:v>https://chatgpt.com/api/library/files/libfile_a5c959436ba48191912c97c010513fdb/download</x:v>
      </x:c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44" customHeight="1">
      <x:c r="A20" s="2" t="str">
        <x:v>G1-REG-001</x:v>
      </x:c>
      <x:c r="B20" s="24" t="str">
        <x:v>Public/Vendor MVP Closure and Implementation Handoff</x:v>
      </x:c>
      <x:c r="C20" s="2" t="str">
        <x:v>1.1</x:v>
      </x:c>
      <x:c r="D20" s="24" t="str">
        <x:v>Gate 1</x:v>
      </x:c>
      <x:c r="E20" s="24" t="str">
        <x:v>Implementation handoff</x:v>
      </x:c>
      <x:c r="F20" s="24" t="str">
        <x:v>Project Owner review</x:v>
      </x:c>
      <x:c r="G20" s="36"/>
      <x:c r="H20" s="24" t="str">
        <x:v>v1.0 on approval</x:v>
      </x:c>
      <x:c r="I20" s="24" t="str">
        <x:v>Planned</x:v>
      </x:c>
      <x:c r="J20" s="24" t="str">
        <x:v>Not evidenced</x:v>
      </x:c>
      <x:c r="K20" s="24" t="str">
        <x:v>Blocked</x:v>
      </x:c>
      <x:c r="L20" s="2" t="str">
        <x:v>Proposed</x:v>
      </x:c>
      <x:c r="M20" s="24" t="str">
        <x:v>Reconciled implementation sequence from public discovery through sealed Bid Submission, including the installed STD runtime and in-flight release lifecycle.</x:v>
      </x:c>
      <x:c r="N20" s="24" t="str">
        <x:v>CFG v0.16; STD-TPL v0.10; STD-TPL-IMP v1.0; TPR v0.11; BDS v0.7; REQ v1.12; PLN v1.27; BUD v1.11; AUTH v1.10; KT-STD v1.8</x:v>
      </x:c>
      <x:c r="O20" s="24" t="str">
        <x:v>Approve as the implementation control for the current public/vendor slice.</x:v>
      </x:c>
      <x:c r="P20" s="24" t="str">
        <x:v>https://chatgpt.com/api/library/files/libfile_f8ffd7bdcf1c8191b434d098ba12e93b/download</x:v>
      </x:c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44" customHeight="1">
      <x:c r="A21" s="2" t="str">
        <x:v>KT-RCA-001</x:v>
      </x:c>
      <x:c r="B21" s="24" t="str">
        <x:v>Roadmap Coverage Assessment</x:v>
      </x:c>
      <x:c r="C21" s="2" t="str">
        <x:v>1.1</x:v>
      </x:c>
      <x:c r="D21" s="24" t="str">
        <x:v>Programme</x:v>
      </x:c>
      <x:c r="E21" s="24" t="str">
        <x:v>Programme assessment</x:v>
      </x:c>
      <x:c r="F21" s="24" t="str">
        <x:v>Directional</x:v>
      </x:c>
      <x:c r="G21" s="36"/>
      <x:c r="H21" s="24" t="str">
        <x:v>v1.0</x:v>
      </x:c>
      <x:c r="I21" s="24" t="str">
        <x:v>Not applicable</x:v>
      </x:c>
      <x:c r="J21" s="24" t="str">
        <x:v>Not applicable</x:v>
      </x:c>
      <x:c r="K21" s="24" t="str">
        <x:v>Not applicable</x:v>
      </x:c>
      <x:c r="L21" s="2" t="str">
        <x:v>No</x:v>
      </x:c>
      <x:c r="M21" s="24" t="str">
        <x:v>Gate 1 coverage assessment and retained future programme work.</x:v>
      </x:c>
      <x:c r="N21" s="24" t="str">
        <x:v>Source roadmap; current controlled baseline</x:v>
      </x:c>
      <x:c r="O21" s="24" t="str">
        <x:v>Use for programme coverage, not as a module implementation contract.</x:v>
      </x:c>
      <x:c r="P21" s="24" t="str">
        <x:v>https://chatgpt.com/api/library/files/libfile_a75d3106ab808191b8a4d4bfb9d8bd98/download</x:v>
      </x:c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 ht="44" customHeight="1">
      <x:c r="A22" s="2" t="str">
        <x:v>RES-IMP-001</x:v>
      </x:c>
      <x:c r="B22" s="24" t="str">
        <x:v>Reservation Correction Implementation Handoff</x:v>
      </x:c>
      <x:c r="C22" s="2" t="str">
        <x:v>1.0</x:v>
      </x:c>
      <x:c r="D22" s="24" t="str">
        <x:v>Cross-module reservation</x:v>
      </x:c>
      <x:c r="E22" s="24" t="str">
        <x:v>Implementation handoff</x:v>
      </x:c>
      <x:c r="F22" s="24" t="str">
        <x:v>Project Owner review</x:v>
      </x:c>
      <x:c r="G22" s="36"/>
      <x:c r="H22" s="24" t="str"/>
      <x:c r="I22" s="24" t="str">
        <x:v>Planned</x:v>
      </x:c>
      <x:c r="J22" s="24" t="str">
        <x:v>Not evidenced</x:v>
      </x:c>
      <x:c r="K22" s="24" t="str">
        <x:v>Not applicable</x:v>
      </x:c>
      <x:c r="L22" s="2" t="str">
        <x:v>Proposed</x:v>
      </x:c>
      <x:c r="M22" s="24" t="str">
        <x:v>Functional and design correction for the statutory reservation denominator and downstream propagation.</x:v>
      </x:c>
      <x:c r="N22" s="24" t="str">
        <x:v>LAW-REG-001; PLN-CHG-001; REQ-CHG-001; TPR-CHG-001; BDS-CHG-001</x:v>
      </x:c>
      <x:c r="O22" s="24" t="str">
        <x:v>Reconcile stale downstream version references before using it as an implementation checklist.</x:v>
      </x:c>
      <x:c r="P22" s="24" t="str">
        <x:v>https://chatgpt.com/api/library/files/libfile_ecce449ece2081919d35d737bb7dd314/download</x:v>
      </x:c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44" customHeight="1">
      <x:c r="A23" s="2" t="str">
        <x:v>WFG-STD</x:v>
      </x:c>
      <x:c r="B23" s="24" t="str">
        <x:v>KenTender Workflow Guidance Standard</x:v>
      </x:c>
      <x:c r="C23" s="2" t="str">
        <x:v>Unversioned approved source</x:v>
      </x:c>
      <x:c r="D23" s="24" t="str">
        <x:v>Cross-module UX and workflow</x:v>
      </x:c>
      <x:c r="E23" s="24" t="str">
        <x:v>Approved source standard</x:v>
      </x:c>
      <x:c r="F23" s="24" t="str">
        <x:v>Approved reference</x:v>
      </x:c>
      <x:c r="G23" s="36" t="n">
        <x:v>46290</x:v>
      </x:c>
      <x:c r="H23" s="24" t="str"/>
      <x:c r="I23" s="24" t="str">
        <x:v>Planned</x:v>
      </x:c>
      <x:c r="J23" s="24" t="str">
        <x:v>Not evidenced</x:v>
      </x:c>
      <x:c r="K23" s="24" t="str">
        <x:v>Not applicable</x:v>
      </x:c>
      <x:c r="L23" s="2" t="str">
        <x:v>Yes—through KT-STD-001 v1.8 and module adoption</x:v>
      </x:c>
      <x:c r="M23" s="24" t="str">
        <x:v>Defines the no-dead-ends test, shared next-step response, My Work hand-off coverage, restrained journey tracker and Home guidance using the Planning over-budget case.</x:v>
      </x:c>
      <x:c r="N23" s="24" t="str">
        <x:v>KT-STD-001 v1.8; module-specific adoption</x:v>
      </x:c>
      <x:c r="O23" s="24" t="str">
        <x:v>Retain as approved provenance. Implement operative wording from KT-STD-001 v1.8 and each current module document.</x:v>
      </x:c>
      <x:c r="P23" s="24" t="str">
        <x:v>https://chatgpt.com/api/library/files/libfile_ac20011f049881919843681b0461c5cb/download</x:v>
      </x:c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 ht="44" customHeight="1">
      <x:c r="A24" s="2" t="str">
        <x:v>PLN-JOURNEY-REF</x:v>
      </x:c>
      <x:c r="B24" s="24" t="str">
        <x:v>PLN-CHG-001 Next-step and journey content</x:v>
      </x:c>
      <x:c r="C24" s="2" t="str">
        <x:v>Draft input dated 2026-09-25</x:v>
      </x:c>
      <x:c r="D24" s="24" t="str">
        <x:v>Procurement Planning</x:v>
      </x:c>
      <x:c r="E24" s="24" t="str">
        <x:v>Module amendment source</x:v>
      </x:c>
      <x:c r="F24" s="24" t="str">
        <x:v>Historical provenance</x:v>
      </x:c>
      <x:c r="G24" s="36"/>
      <x:c r="H24" s="24" t="str">
        <x:v>Absorbed by approved PLN-CHG-001 v1.26 and v1.27</x:v>
      </x:c>
      <x:c r="I24" s="24" t="str">
        <x:v>Not applicable</x:v>
      </x:c>
      <x:c r="J24" s="24" t="str">
        <x:v>Not applicable</x:v>
      </x:c>
      <x:c r="K24" s="24" t="str">
        <x:v>Not applicable</x:v>
      </x:c>
      <x:c r="L24" s="2" t="str">
        <x:v>No</x:v>
      </x:c>
      <x:c r="M24" s="24" t="str">
        <x:v>Draft wording and per-screen next-step/journey proposal used to prepare Planning v1.26.</x:v>
      </x:c>
      <x:c r="N24" s="24" t="str">
        <x:v>Workflow Guidance Standard; KT-STD-001 v1.8; PLN-CHG-001 v1.25</x:v>
      </x:c>
      <x:c r="O24" s="24" t="str">
        <x:v>Do not use as a separate implementation authority; retain only as provenance for PLN v1.27.</x:v>
      </x:c>
      <x:c r="P24" s="24" t="str">
        <x:v>https://chatgpt.com/api/library/files/libfile_4453ef182d708191846615aaff160810/download</x:v>
      </x:c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 ht="44" customHeight="1">
      <x:c r="A25" s="2" t="str">
        <x:v>ISSUE-UJ-001</x:v>
      </x:c>
      <x:c r="B25" s="24" t="str">
        <x:v>Opaqueness in the user journey</x:v>
      </x:c>
      <x:c r="C25" s="2" t="str">
        <x:v>Issue record dated 2026-09-25</x:v>
      </x:c>
      <x:c r="D25" s="24" t="str">
        <x:v>Cross-module UX and workflow</x:v>
      </x:c>
      <x:c r="E25" s="24" t="str">
        <x:v>Issue and recommendation evidence</x:v>
      </x:c>
      <x:c r="F25" s="24" t="str">
        <x:v>Issue evidence</x:v>
      </x:c>
      <x:c r="G25" s="36"/>
      <x:c r="H25" s="24" t="str"/>
      <x:c r="I25" s="24" t="str">
        <x:v>Not applicable</x:v>
      </x:c>
      <x:c r="J25" s="24" t="str">
        <x:v>Not applicable</x:v>
      </x:c>
      <x:c r="K25" s="24" t="str">
        <x:v>Not applicable</x:v>
      </x:c>
      <x:c r="L25" s="2" t="str">
        <x:v>No</x:v>
      </x:c>
      <x:c r="M25" s="24" t="str">
        <x:v>Records the over-budget Planning dead end and recommends a no-dead-ends test, shared next-step block, complete My Work hand-offs, journey tracking and a useful Home page.</x:v>
      </x:c>
      <x:c r="N25" s="24" t="str">
        <x:v>Workflow Guidance Standard; KT-STD-001 v1.8; PLN-CHG-001 v1.27</x:v>
      </x:c>
      <x:c r="O25" s="24" t="str">
        <x:v>Retain as evidence of the defect and recommendation; implement only through approved standards and module documents.</x:v>
      </x:c>
      <x:c r="P25" s="24" t="str">
        <x:v>https://chatgpt.com/api/library/files/libfile_cb7fa45e06648191a017461fc2ff2480/download</x:v>
      </x:c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 ht="44" customHeight="1">
      <x:c r="A26" s="2" t="str">
        <x:v>ROADMAP-SRC</x:v>
      </x:c>
      <x:c r="B26" s="24" t="str">
        <x:v>KenTender ePublic Milestone Overview</x:v>
      </x:c>
      <x:c r="C26" s="2" t="str">
        <x:v>2</x:v>
      </x:c>
      <x:c r="D26" s="24" t="str">
        <x:v>Programme</x:v>
      </x:c>
      <x:c r="E26" s="24" t="str">
        <x:v>Source roadmap</x:v>
      </x:c>
      <x:c r="F26" s="24" t="str">
        <x:v>Directional</x:v>
      </x:c>
      <x:c r="G26" s="36"/>
      <x:c r="H26" s="24" t="str"/>
      <x:c r="I26" s="24" t="str">
        <x:v>Not applicable</x:v>
      </x:c>
      <x:c r="J26" s="24" t="str">
        <x:v>Not applicable</x:v>
      </x:c>
      <x:c r="K26" s="24" t="str">
        <x:v>Not applicable</x:v>
      </x:c>
      <x:c r="L26" s="2" t="str">
        <x:v>No</x:v>
      </x:c>
      <x:c r="M26" s="24" t="str">
        <x:v>Initial client roadmap and milestone intent.</x:v>
      </x:c>
      <x:c r="N26" s="24" t="str">
        <x:v>KT-RCA-001</x:v>
      </x:c>
      <x:c r="O26" s="24" t="str">
        <x:v>Retain as source context; resolve implementation from controlled module documents.</x:v>
      </x:c>
      <x:c r="P26" s="24" t="str">
        <x:v>https://chatgpt.com/api/library/files/libfile_a58ca41f1fb88191a0431e50ae42ef1b/download</x:v>
      </x:c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 ht="44" customHeight="1">
      <x:c r="A27" s="2" t="str">
        <x:v>IT-EQUIPMENT-OPEN-V1</x:v>
      </x:c>
      <x:c r="B27" s="24" t="str">
        <x:v>IT Equipment Open Tender Release Bundle</x:v>
      </x:c>
      <x:c r="C27" s="2" t="str">
        <x:v>candidate</x:v>
      </x:c>
      <x:c r="D27" s="24" t="str">
        <x:v>STD Templates</x:v>
      </x:c>
      <x:c r="E27" s="24" t="str">
        <x:v>Release artifact</x:v>
      </x:c>
      <x:c r="F27" s="24" t="str">
        <x:v>Release artifact</x:v>
      </x:c>
      <x:c r="G27" s="36"/>
      <x:c r="H27" s="24" t="str"/>
      <x:c r="I27" s="24" t="str">
        <x:v>Implemented</x:v>
      </x:c>
      <x:c r="J27" s="24" t="str">
        <x:v>Pending</x:v>
      </x:c>
      <x:c r="K27" s="24" t="str">
        <x:v>Candidate</x:v>
      </x:c>
      <x:c r="L27" s="2" t="str">
        <x:v>No</x:v>
      </x:c>
      <x:c r="M27" s="24" t="str">
        <x:v>Existing generated renderer/review-pack artefacts; candidate must be reconciled to STD-TPL-001 v0.10 and installed under STD-TPL-IMP-001 v1.0 before use.</x:v>
      </x:c>
      <x:c r="N27" s="24" t="str">
        <x:v>STD-TPL-001 v0.10; STD-TPL-IMP-001 v1.0</x:v>
      </x:c>
      <x:c r="O27" s="24" t="str">
        <x:v>Rebuild and verify structured gates, change report, exact manifest, compiler vectors and renderer adapter; do not treat the existing ZIP as an approved release.</x:v>
      </x:c>
      <x:c r="P27" s="24" t="str">
        <x:v>https://chatgpt.com/api/library/files/libfile_7350870ee594819189729148528d97d7/download</x:v>
      </x:c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 ht="44" customHeight="1">
      <x:c r="A28" s="2" t="str">
        <x:v>STD-STD-001</x:v>
      </x:c>
      <x:c r="B28" s="24" t="str">
        <x:v>Referenced structured-tender standard</x:v>
      </x:c>
      <x:c r="C28" s="2" t="str">
        <x:v>1.1</x:v>
      </x:c>
      <x:c r="D28" s="24" t="str">
        <x:v>Tenders/Bids</x:v>
      </x:c>
      <x:c r="E28" s="24" t="str">
        <x:v>Referenced standard</x:v>
      </x:c>
      <x:c r="F28" s="24" t="str">
        <x:v>Referenced—unresolved</x:v>
      </x:c>
      <x:c r="G28" s="36"/>
      <x:c r="H28" s="24" t="str"/>
      <x:c r="I28" s="24" t="str">
        <x:v>Not evidenced</x:v>
      </x:c>
      <x:c r="J28" s="24" t="str">
        <x:v>Not evidenced</x:v>
      </x:c>
      <x:c r="K28" s="24" t="str">
        <x:v>Blocked</x:v>
      </x:c>
      <x:c r="L28" s="2" t="str">
        <x:v>Unknown</x:v>
      </x:c>
      <x:c r="M28" s="24" t="str">
        <x:v>Referenced by current documents but the exact controlled file was not resolved in the admitted set.</x:v>
      </x:c>
      <x:c r="N28" s="24" t="str">
        <x:v>STD-TPL-001; TPR-CHG-001; BDS-CHG-001</x:v>
      </x:c>
      <x:c r="O28" s="24" t="str">
        <x:v>Locate or admit the exact v1.1 controlled file, then reconcile its authority and dependencies.</x:v>
      </x:c>
      <x:c r="P28" s="24" t="str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 ht="44" customHeight="1">
      <x:c r="A29" s="2" t="str">
        <x:v>STD-ST-001</x:v>
      </x:c>
      <x:c r="B29" s="24" t="str">
        <x:v>Referenced stress-test standard</x:v>
      </x:c>
      <x:c r="C29" s="2" t="str">
        <x:v>0.5</x:v>
      </x:c>
      <x:c r="D29" s="24" t="str">
        <x:v>Verification</x:v>
      </x:c>
      <x:c r="E29" s="24" t="str">
        <x:v>Referenced standard</x:v>
      </x:c>
      <x:c r="F29" s="24" t="str">
        <x:v>Referenced—unresolved</x:v>
      </x:c>
      <x:c r="G29" s="36"/>
      <x:c r="H29" s="24" t="str">
        <x:v>Earlier v0.3 artefact exists but is not assumed current</x:v>
      </x:c>
      <x:c r="I29" s="24" t="str">
        <x:v>Not evidenced</x:v>
      </x:c>
      <x:c r="J29" s="24" t="str">
        <x:v>Not evidenced</x:v>
      </x:c>
      <x:c r="K29" s="24" t="str">
        <x:v>Blocked</x:v>
      </x:c>
      <x:c r="L29" s="2" t="str">
        <x:v>Unknown</x:v>
      </x:c>
      <x:c r="M29" s="24" t="str">
        <x:v>Referenced by current documents but the exact controlled v0.5 file was not resolved in the admitted set.</x:v>
      </x:c>
      <x:c r="N29" s="24" t="str">
        <x:v>Gate 1 verification</x:v>
      </x:c>
      <x:c r="O29" s="24" t="str">
        <x:v>Locate or admit the exact v0.5 controlled file before final integrated verification.</x:v>
      </x:c>
      <x:c r="P29" s="24" t="str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</x:sheetData>
  <x:mergeCells>
    <x:mergeCell ref="A1:P1"/>
    <x:mergeCell ref="A2:P2"/>
  </x:mergeCells>
  <x:conditionalFormatting sqref="F6:F29">
    <x:cfRule type="containsText" dxfId="2" priority="1" operator="containsText" text="Approved"/>
    <x:cfRule type="containsText" dxfId="3" priority="2" operator="containsText" text="Passed"/>
    <x:cfRule type="containsText" dxfId="4" priority="3" operator="containsText" text="Released"/>
    <x:cfRule type="containsText" dxfId="5" priority="4" operator="containsText" text="Project Owner review"/>
    <x:cfRule type="containsText" dxfId="6" priority="5" operator="containsText" text="Pending"/>
    <x:cfRule type="containsText" dxfId="7" priority="6" operator="containsText" text="Blocked"/>
    <x:cfRule type="containsText" dxfId="8" priority="7" operator="containsText" text="unresolved"/>
    <x:cfRule type="containsText" dxfId="9" priority="8" operator="containsText" text="Not started"/>
    <x:cfRule type="containsText" dxfId="10" priority="9" operator="containsText" text="Not evidenced"/>
  </x:conditionalFormatting>
  <x:conditionalFormatting sqref="I6:I29">
    <x:cfRule type="containsText" dxfId="11" priority="10" operator="containsText" text="Approved"/>
    <x:cfRule type="containsText" dxfId="12" priority="11" operator="containsText" text="Passed"/>
    <x:cfRule type="containsText" dxfId="13" priority="12" operator="containsText" text="Released"/>
    <x:cfRule type="containsText" dxfId="14" priority="13" operator="containsText" text="Project Owner review"/>
    <x:cfRule type="containsText" dxfId="15" priority="14" operator="containsText" text="Pending"/>
    <x:cfRule type="containsText" dxfId="16" priority="15" operator="containsText" text="Blocked"/>
    <x:cfRule type="containsText" dxfId="17" priority="16" operator="containsText" text="unresolved"/>
    <x:cfRule type="containsText" dxfId="18" priority="17" operator="containsText" text="Not started"/>
    <x:cfRule type="containsText" dxfId="19" priority="18" operator="containsText" text="Not evidenced"/>
  </x:conditionalFormatting>
  <x:conditionalFormatting sqref="J6:J29">
    <x:cfRule type="containsText" dxfId="20" priority="19" operator="containsText" text="Approved"/>
    <x:cfRule type="containsText" dxfId="21" priority="20" operator="containsText" text="Passed"/>
    <x:cfRule type="containsText" dxfId="22" priority="21" operator="containsText" text="Released"/>
    <x:cfRule type="containsText" dxfId="23" priority="22" operator="containsText" text="Project Owner review"/>
    <x:cfRule type="containsText" dxfId="24" priority="23" operator="containsText" text="Pending"/>
    <x:cfRule type="containsText" dxfId="25" priority="24" operator="containsText" text="Blocked"/>
    <x:cfRule type="containsText" dxfId="26" priority="25" operator="containsText" text="unresolved"/>
    <x:cfRule type="containsText" dxfId="27" priority="26" operator="containsText" text="Not started"/>
    <x:cfRule type="containsText" dxfId="28" priority="27" operator="containsText" text="Not evidenced"/>
  </x:conditionalFormatting>
  <x:conditionalFormatting sqref="K6:K29">
    <x:cfRule type="containsText" dxfId="29" priority="28" operator="containsText" text="Approved"/>
    <x:cfRule type="containsText" dxfId="30" priority="29" operator="containsText" text="Passed"/>
    <x:cfRule type="containsText" dxfId="31" priority="30" operator="containsText" text="Released"/>
    <x:cfRule type="containsText" dxfId="32" priority="31" operator="containsText" text="Project Owner review"/>
    <x:cfRule type="containsText" dxfId="33" priority="32" operator="containsText" text="Pending"/>
    <x:cfRule type="containsText" dxfId="34" priority="33" operator="containsText" text="Blocked"/>
    <x:cfRule type="containsText" dxfId="35" priority="34" operator="containsText" text="unresolved"/>
    <x:cfRule type="containsText" dxfId="36" priority="35" operator="containsText" text="Not started"/>
    <x:cfRule type="containsText" dxfId="37" priority="36" operator="containsText" text="Not evidenced"/>
  </x:conditionalFormatting>
  <x:pageMargins left="0.7" right="0.7" top="0.75" bottom="0.75" header="0.3" footer="0.3"/>
  <x:tableParts count="1">
    <x:tablePart xmlns:r="http://schemas.openxmlformats.org/officeDocument/2006/relationships" r:id="R42318d86bf824067"/>
  </x:tableParts>
</x:worksheet>
</file>

<file path=xl/worksheets/sheet3.xml><?xml version="1.0" encoding="utf-8"?>
<x:worksheet xmlns:x="http://schemas.openxmlformats.org/spreadsheetml/2006/main">
  <x:sheetPr>
    <x:tabColor rgb="FF4472C4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3" hidden="0" customWidth="1"/>
    <x:col min="2" max="2" width="23" hidden="0" customWidth="1"/>
    <x:col min="3" max="3" width="23" hidden="0" customWidth="1"/>
    <x:col min="4" max="4" width="48" hidden="0" customWidth="1"/>
    <x:col min="5" max="5" width="22" hidden="0" customWidth="1"/>
    <x:col min="6" max="6" width="18" hidden="0" customWidth="1"/>
    <x:col min="7" max="7" width="16" hidden="0" customWidth="1"/>
    <x:col min="8" max="8" width="37" hidden="0" customWidth="1"/>
    <x:col min="9" max="9" width="50" hidden="0" customWidth="1"/>
  </x:cols>
  <x:sheetData>
    <x:row r="1" ht="38" customHeight="1">
      <x:c r="A1" s="5" t="str">
        <x:v>Cross-module interfaces</x:v>
      </x:c>
      <x:c r="B1" s="5"/>
      <x:c r="C1" s="5"/>
      <x:c r="D1" s="5"/>
      <x:c r="E1" s="5"/>
      <x:c r="F1" s="5"/>
      <x:c r="G1" s="5"/>
      <x:c r="H1" s="5"/>
      <x:c r="I1" s="5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4" customHeight="1">
      <x:c r="A2" s="8" t="str">
        <x:v>Every handoff has an upstream owner, downstream consumer, exact contract and failure rule. A document cannot be considered complete if a required interface remains unresolved.</x:v>
      </x:c>
      <x:c r="B2" s="8"/>
      <x:c r="C2" s="8"/>
      <x:c r="D2" s="8"/>
      <x:c r="E2" s="8"/>
      <x:c r="F2" s="8"/>
      <x:c r="G2" s="8"/>
      <x:c r="H2" s="8"/>
      <x:c r="I2" s="8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6" customHeight="1">
      <x:c r="A5" s="35" t="str">
        <x:v>Interface ID</x:v>
      </x:c>
      <x:c r="B5" s="35" t="str">
        <x:v>Upstream owner</x:v>
      </x:c>
      <x:c r="C5" s="35" t="str">
        <x:v>Downstream consumer</x:v>
      </x:c>
      <x:c r="D5" s="35" t="str">
        <x:v>Contract / artifact</x:v>
      </x:c>
      <x:c r="E5" s="35" t="str">
        <x:v>Requirement status</x:v>
      </x:c>
      <x:c r="F5" s="35" t="str">
        <x:v>Implementation</x:v>
      </x:c>
      <x:c r="G5" s="35" t="str">
        <x:v>Test status</x:v>
      </x:c>
      <x:c r="H5" s="35" t="str">
        <x:v>Owning documents</x:v>
      </x:c>
      <x:c r="I5" s="35" t="str">
        <x:v>Failure rule</x:v>
      </x:c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2" t="str">
        <x:v>IF-001</x:v>
      </x:c>
      <x:c r="B6" s="24" t="str">
        <x:v>Strategy Alignment</x:v>
      </x:c>
      <x:c r="C6" s="24" t="str">
        <x:v>Procurement Planning</x:v>
      </x:c>
      <x:c r="D6" s="24" t="str">
        <x:v>Accepted objective reference and immutable strategy snapshot</x:v>
      </x:c>
      <x:c r="E6" s="24" t="str">
        <x:v>Closed in requirements</x:v>
      </x:c>
      <x:c r="F6" s="24" t="str">
        <x:v>Not evidenced</x:v>
      </x:c>
      <x:c r="G6" s="24" t="str">
        <x:v>Not evidenced</x:v>
      </x:c>
      <x:c r="H6" s="24" t="str">
        <x:v>STR-CHG-001 v1.8 / PLN-CHG-001 v1.27</x:v>
      </x:c>
      <x:c r="I6" s="24" t="str">
        <x:v>Planning must not invent or silently rewrite strategy evidence.</x:v>
      </x:c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44" customHeight="1">
      <x:c r="A7" s="2" t="str">
        <x:v>IF-002</x:v>
      </x:c>
      <x:c r="B7" s="24" t="str">
        <x:v>Budget and Funding</x:v>
      </x:c>
      <x:c r="C7" s="24" t="str">
        <x:v>Procurement Planning</x:v>
      </x:c>
      <x:c r="D7" s="24" t="str">
        <x:v>Funding ceiling, budget line and affordability facts</x:v>
      </x:c>
      <x:c r="E7" s="24" t="str">
        <x:v>Closed in requirements</x:v>
      </x:c>
      <x:c r="F7" s="24" t="str">
        <x:v>Not evidenced</x:v>
      </x:c>
      <x:c r="G7" s="24" t="str">
        <x:v>Not evidenced</x:v>
      </x:c>
      <x:c r="H7" s="24" t="str">
        <x:v>BUD-CHG-001 v1.11 / PLN-CHG-001 v1.27</x:v>
      </x:c>
      <x:c r="I7" s="24" t="str">
        <x:v>Budget facts must not be repurposed as the APP reservation denominator.</x:v>
      </x:c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44" customHeight="1">
      <x:c r="A8" s="2" t="str">
        <x:v>IF-003</x:v>
      </x:c>
      <x:c r="B8" s="24" t="str">
        <x:v>Departmental Needs</x:v>
      </x:c>
      <x:c r="C8" s="24" t="str">
        <x:v>Procurement Planning</x:v>
      </x:c>
      <x:c r="D8" s="24" t="str">
        <x:v>Accepted requirement identity, quantity, unit, required-by date and planning disposition</x:v>
      </x:c>
      <x:c r="E8" s="24" t="str">
        <x:v>Closed in requirements</x:v>
      </x:c>
      <x:c r="F8" s="24" t="str">
        <x:v>Not evidenced</x:v>
      </x:c>
      <x:c r="G8" s="24" t="str">
        <x:v>Not evidenced</x:v>
      </x:c>
      <x:c r="H8" s="24" t="str">
        <x:v>NDS-CHG-001 v1.14 / PLN-CHG-001 v1.27</x:v>
      </x:c>
      <x:c r="I8" s="24" t="str">
        <x:v>A need cannot be subsumed into a plan item whose fulfilment path is already unavailable.</x:v>
      </x:c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44" customHeight="1">
      <x:c r="A9" s="2" t="str">
        <x:v>IF-004</x:v>
      </x:c>
      <x:c r="B9" s="24" t="str">
        <x:v>Procurement Planning</x:v>
      </x:c>
      <x:c r="C9" s="24" t="str">
        <x:v>Procurement Requisitions</x:v>
      </x:c>
      <x:c r="D9" s="24" t="str">
        <x:v>Activated plan item plus REQ-owned Purchase ready for requisition hand-off, preserving allocations, classification, method, schedule, lots and reservation treatment</x:v>
      </x:c>
      <x:c r="E9" s="24" t="str">
        <x:v>Closed in requirements</x:v>
      </x:c>
      <x:c r="F9" s="24" t="str">
        <x:v>Not evidenced</x:v>
      </x:c>
      <x:c r="G9" s="24" t="str">
        <x:v>Not evidenced</x:v>
      </x:c>
      <x:c r="H9" s="24" t="str">
        <x:v>PLN-CHG-001 v1.27 / REQ-CHG-001 v1.12</x:v>
      </x:c>
      <x:c r="I9" s="24" t="str">
        <x:v>Requisition must preserve approved planning facts, expose lawful corrections explicitly and must not invent a parallel task or approval state.</x:v>
      </x:c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44" customHeight="1">
      <x:c r="A10" s="2" t="str">
        <x:v>IF-005</x:v>
      </x:c>
      <x:c r="B10" s="24" t="str">
        <x:v>Procurement Requisitions</x:v>
      </x:c>
      <x:c r="C10" s="24" t="str">
        <x:v>Tenders</x:v>
      </x:c>
      <x:c r="D10" s="24" t="str">
        <x:v>AuthorizedRequisitionHandoff</x:v>
      </x:c>
      <x:c r="E10" s="24" t="str">
        <x:v>Closed in requirements</x:v>
      </x:c>
      <x:c r="F10" s="24" t="str">
        <x:v>Planned</x:v>
      </x:c>
      <x:c r="G10" s="24" t="str">
        <x:v>Not evidenced</x:v>
      </x:c>
      <x:c r="H10" s="24" t="str">
        <x:v>REQ-CHG-001 v1.12 / TPR-CHG-001 v0.11</x:v>
      </x:c>
      <x:c r="I10" s="24" t="str">
        <x:v>Tender creation must reject missing, stale or unauthorised handoff data.</x:v>
      </x:c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44" customHeight="1">
      <x:c r="A11" s="2" t="str">
        <x:v>IF-006</x:v>
      </x:c>
      <x:c r="B11" s="24" t="str">
        <x:v>System Setup</x:v>
      </x:c>
      <x:c r="C11" s="24" t="str">
        <x:v>Planning/Tenders/Bids</x:v>
      </x:c>
      <x:c r="D11" s="24" t="str">
        <x:v>Effective procurement rules, schedule profiles, responsibilities, public portal settings and release availability</x:v>
      </x:c>
      <x:c r="E11" s="24" t="str">
        <x:v>Needs approval</x:v>
      </x:c>
      <x:c r="F11" s="24" t="str">
        <x:v>Planned</x:v>
      </x:c>
      <x:c r="G11" s="24" t="str">
        <x:v>Not evidenced</x:v>
      </x:c>
      <x:c r="H11" s="24" t="str">
        <x:v>CFG-CHG-002 v0.16</x:v>
      </x:c>
      <x:c r="I11" s="24" t="str">
        <x:v>Unavailable or unverified settings must block only their affected action and name the responsible setup owner.</x:v>
      </x:c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44" customHeight="1">
      <x:c r="A12" s="2" t="str">
        <x:v>IF-007</x:v>
      </x:c>
      <x:c r="B12" s="24" t="str">
        <x:v>STD Templates</x:v>
      </x:c>
      <x:c r="C12" s="24" t="str">
        <x:v>Requisitions/Tenders/Bids</x:v>
      </x:c>
      <x:c r="D12" s="24" t="str">
        <x:v>Exact approved release manifest, structured gates, change report, shared compiler, renderer adapter and lifecycle</x:v>
      </x:c>
      <x:c r="E12" s="24" t="str">
        <x:v>Needs approval and rebuild</x:v>
      </x:c>
      <x:c r="F12" s="24" t="str">
        <x:v>Planned</x:v>
      </x:c>
      <x:c r="G12" s="24" t="str">
        <x:v>Pending</x:v>
      </x:c>
      <x:c r="H12" s="24" t="str">
        <x:v>STD-TPL-001 v0.10 / STD-TPL-IMP-001 v1.0</x:v>
      </x:c>
      <x:c r="I12" s="24" t="str">
        <x:v>No module may infer missing semantics, use an unapproved manifest, duplicate the compiler or bypass release lifecycle.</x:v>
      </x:c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44" customHeight="1">
      <x:c r="A13" s="2" t="str">
        <x:v>IF-008</x:v>
      </x:c>
      <x:c r="B13" s="24" t="str">
        <x:v>Tenders</x:v>
      </x:c>
      <x:c r="C13" s="24" t="str">
        <x:v>Bid Submission</x:v>
      </x:c>
      <x:c r="D13" s="24" t="str">
        <x:v>PublishedBidDefinition with stable row identities, deadlines, addenda and clarification state</x:v>
      </x:c>
      <x:c r="E13" s="24" t="str">
        <x:v>Closed in requirements</x:v>
      </x:c>
      <x:c r="F13" s="24" t="str">
        <x:v>Planned</x:v>
      </x:c>
      <x:c r="G13" s="24" t="str">
        <x:v>Not evidenced</x:v>
      </x:c>
      <x:c r="H13" s="24" t="str">
        <x:v>TPR-CHG-001 v0.11 / BDS-CHG-001 v0.7 / STD-TPL-IMP-001 v1.0</x:v>
      </x:c>
      <x:c r="I13" s="24" t="str">
        <x:v>Bid UI must be generated only by the shared compiler from the exact effective published definition and release identity.</x:v>
      </x:c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44" customHeight="1">
      <x:c r="A14" s="2" t="str">
        <x:v>IF-009</x:v>
      </x:c>
      <x:c r="B14" s="24" t="str">
        <x:v>Bid Submission</x:v>
      </x:c>
      <x:c r="C14" s="24" t="str">
        <x:v>Tenders</x:v>
      </x:c>
      <x:c r="D14" s="24" t="str">
        <x:v>Atomic candidate registration/contact plus candidate question</x:v>
      </x:c>
      <x:c r="E14" s="24" t="str">
        <x:v>Closed in requirements</x:v>
      </x:c>
      <x:c r="F14" s="24" t="str">
        <x:v>Planned</x:v>
      </x:c>
      <x:c r="G14" s="24" t="str">
        <x:v>Not evidenced</x:v>
      </x:c>
      <x:c r="H14" s="24" t="str">
        <x:v>BDS-CHG-001 v0.7 / TPR-CHG-001 v0.11</x:v>
      </x:c>
      <x:c r="I14" s="24" t="str">
        <x:v>Start bid must not create a half-registered candidate or orphan question.</x:v>
      </x:c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44" customHeight="1">
      <x:c r="A15" s="2" t="str">
        <x:v>IF-012</x:v>
      </x:c>
      <x:c r="B15" s="24" t="str">
        <x:v>Procurement Planning</x:v>
      </x:c>
      <x:c r="C15" s="24" t="str">
        <x:v>Budget and Funding</x:v>
      </x:c>
      <x:c r="D15" s="24" t="str">
        <x:v>Planning budget revision request with affected plan item, requested outcome, reason, requester, timestamps and immutable request identity</x:v>
      </x:c>
      <x:c r="E15" s="24" t="str">
        <x:v>Closed in requirements</x:v>
      </x:c>
      <x:c r="F15" s="24" t="str">
        <x:v>Not evidenced</x:v>
      </x:c>
      <x:c r="G15" s="24" t="str">
        <x:v>Not evidenced</x:v>
      </x:c>
      <x:c r="H15" s="24" t="str">
        <x:v>PLN-CHG-001 v1.27 / BUD-CHG-001 v1.11</x:v>
      </x:c>
      <x:c r="I15" s="24" t="str">
        <x:v>The request itself must not change an amount, create a reservation, constitute a budget revision or imply approval.</x:v>
      </x:c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44" customHeight="1">
      <x:c r="A16" s="2" t="str">
        <x:v>IF-013</x:v>
      </x:c>
      <x:c r="B16" s="24" t="str">
        <x:v>Budget and Funding</x:v>
      </x:c>
      <x:c r="C16" s="24" t="str">
        <x:v>Procurement Planning</x:v>
      </x:c>
      <x:c r="D16" s="24" t="str">
        <x:v>Budget revision request outcome, decline reason or registered successor allocation evidence</x:v>
      </x:c>
      <x:c r="E16" s="24" t="str">
        <x:v>Closed in requirements</x:v>
      </x:c>
      <x:c r="F16" s="24" t="str">
        <x:v>Not evidenced</x:v>
      </x:c>
      <x:c r="G16" s="24" t="str">
        <x:v>Not evidenced</x:v>
      </x:c>
      <x:c r="H16" s="24" t="str">
        <x:v>BUD-CHG-001 v1.11 / PLN-CHG-001 v1.27</x:v>
      </x:c>
      <x:c r="I16" s="24" t="str">
        <x:v>Planning must re-evaluate affordability from the returned Budget-owned fact and must not infer success from request submission.</x:v>
      </x:c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44" customHeight="1">
      <x:c r="A17" s="2" t="str">
        <x:v>IF-014</x:v>
      </x:c>
      <x:c r="B17" s="24" t="str">
        <x:v>Shared workflow guidance</x:v>
      </x:c>
      <x:c r="C17" s="24" t="str">
        <x:v>All task modules</x:v>
      </x:c>
      <x:c r="D17" s="24" t="str">
        <x:v>Server-produced next-step response, explicit guard reason and complete hand-off register consumed by record pages, My Work and Home</x:v>
      </x:c>
      <x:c r="E17" s="24" t="str">
        <x:v>Approved shared standard; module adoption partial</x:v>
      </x:c>
      <x:c r="F17" s="24" t="str">
        <x:v>Planned</x:v>
      </x:c>
      <x:c r="G17" s="24" t="str">
        <x:v>Not evidenced</x:v>
      </x:c>
      <x:c r="H17" s="24" t="str">
        <x:v>KT-STD-001 v1.8 / current module document</x:v>
      </x:c>
      <x:c r="I17" s="24" t="str">
        <x:v>No authorised user may reach a meaningful record state without an action, waiting owner, correctable blocker or completed outcome.</x:v>
      </x:c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44" customHeight="1">
      <x:c r="A18" s="2" t="str">
        <x:v>IF-010</x:v>
      </x:c>
      <x:c r="B18" s="24" t="str">
        <x:v>Tenders</x:v>
      </x:c>
      <x:c r="C18" s="24" t="str">
        <x:v>Bid Submission</x:v>
      </x:c>
      <x:c r="D18" s="24" t="str">
        <x:v>Published clarification answers, candidate notices and issued addenda</x:v>
      </x:c>
      <x:c r="E18" s="24" t="str">
        <x:v>Closed in requirements</x:v>
      </x:c>
      <x:c r="F18" s="24" t="str">
        <x:v>Planned</x:v>
      </x:c>
      <x:c r="G18" s="24" t="str">
        <x:v>Not evidenced</x:v>
      </x:c>
      <x:c r="H18" s="24" t="str">
        <x:v>TPR-CHG-001 v0.11 / BDS-CHG-001 v0.7</x:v>
      </x:c>
      <x:c r="I18" s="24" t="str">
        <x:v>Changed requirements require an issued addendum; clarifications alone cannot mutate the bid definition.</x:v>
      </x:c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44" customHeight="1">
      <x:c r="A19" s="2" t="str">
        <x:v>IF-015</x:v>
      </x:c>
      <x:c r="B19" s="24" t="str">
        <x:v>STD Templates</x:v>
      </x:c>
      <x:c r="C19" s="24" t="str">
        <x:v>Tenders/Bid Submission</x:v>
      </x:c>
      <x:c r="D19" s="24" t="str">
        <x:v>Bound release lifecycle projection</x:v>
      </x:c>
      <x:c r="E19" s="24" t="str">
        <x:v>Closed in requirements</x:v>
      </x:c>
      <x:c r="F19" s="24" t="str">
        <x:v>Planned</x:v>
      </x:c>
      <x:c r="G19" s="24" t="str">
        <x:v>Not evidenced</x:v>
      </x:c>
      <x:c r="H19" s="24" t="str">
        <x:v>STD-TPL-001 v0.10 / STD-TPL-IMP-001 v1.0 / TPR-CHG-001 v0.11</x:v>
      </x:c>
      <x:c r="I19" s="24" t="str">
        <x:v>New binding requires Available; Superseded continuation requires integrity; Withdrawn blocks unpublished continuation; no automatic rebind.</x:v>
      </x:c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44" customHeight="1">
      <x:c r="A20" s="2" t="str">
        <x:v>IF-011</x:v>
      </x:c>
      <x:c r="B20" s="24" t="str">
        <x:v>Bid Submission</x:v>
      </x:c>
      <x:c r="C20" s="24" t="str">
        <x:v>Bid Opening</x:v>
      </x:c>
      <x:c r="D20" s="24" t="str">
        <x:v>Sealed immutable bid handoff and receipt identity</x:v>
      </x:c>
      <x:c r="E20" s="24" t="str">
        <x:v>Future consumer boundary</x:v>
      </x:c>
      <x:c r="F20" s="24" t="str">
        <x:v>Not started</x:v>
      </x:c>
      <x:c r="G20" s="24" t="str">
        <x:v>Not started</x:v>
      </x:c>
      <x:c r="H20" s="24" t="str">
        <x:v>BDS-CHG-001 v0.7</x:v>
      </x:c>
      <x:c r="I20" s="24" t="str">
        <x:v>Gate 1 ends at sealed handoff; no opening or evaluation behaviour is implied.</x:v>
      </x:c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</x:sheetData>
  <x:mergeCells>
    <x:mergeCell ref="A1:I1"/>
    <x:mergeCell ref="A2:I2"/>
  </x:mergeCells>
  <x:conditionalFormatting sqref="E6:E20">
    <x:cfRule type="containsText" dxfId="38" priority="1" operator="containsText" text="Approved"/>
    <x:cfRule type="containsText" dxfId="39" priority="2" operator="containsText" text="Passed"/>
    <x:cfRule type="containsText" dxfId="40" priority="3" operator="containsText" text="Released"/>
    <x:cfRule type="containsText" dxfId="41" priority="4" operator="containsText" text="Project Owner review"/>
    <x:cfRule type="containsText" dxfId="42" priority="5" operator="containsText" text="Pending"/>
    <x:cfRule type="containsText" dxfId="43" priority="6" operator="containsText" text="Blocked"/>
    <x:cfRule type="containsText" dxfId="44" priority="7" operator="containsText" text="unresolved"/>
    <x:cfRule type="containsText" dxfId="45" priority="8" operator="containsText" text="Not started"/>
    <x:cfRule type="containsText" dxfId="46" priority="9" operator="containsText" text="Not evidenced"/>
  </x:conditionalFormatting>
  <x:conditionalFormatting sqref="F6:F20">
    <x:cfRule type="containsText" dxfId="47" priority="10" operator="containsText" text="Approved"/>
    <x:cfRule type="containsText" dxfId="48" priority="11" operator="containsText" text="Passed"/>
    <x:cfRule type="containsText" dxfId="49" priority="12" operator="containsText" text="Released"/>
    <x:cfRule type="containsText" dxfId="50" priority="13" operator="containsText" text="Project Owner review"/>
    <x:cfRule type="containsText" dxfId="51" priority="14" operator="containsText" text="Pending"/>
    <x:cfRule type="containsText" dxfId="52" priority="15" operator="containsText" text="Blocked"/>
    <x:cfRule type="containsText" dxfId="53" priority="16" operator="containsText" text="unresolved"/>
    <x:cfRule type="containsText" dxfId="54" priority="17" operator="containsText" text="Not started"/>
    <x:cfRule type="containsText" dxfId="55" priority="18" operator="containsText" text="Not evidenced"/>
  </x:conditionalFormatting>
  <x:conditionalFormatting sqref="G6:G20">
    <x:cfRule type="containsText" dxfId="56" priority="19" operator="containsText" text="Approved"/>
    <x:cfRule type="containsText" dxfId="57" priority="20" operator="containsText" text="Passed"/>
    <x:cfRule type="containsText" dxfId="58" priority="21" operator="containsText" text="Released"/>
    <x:cfRule type="containsText" dxfId="59" priority="22" operator="containsText" text="Project Owner review"/>
    <x:cfRule type="containsText" dxfId="60" priority="23" operator="containsText" text="Pending"/>
    <x:cfRule type="containsText" dxfId="61" priority="24" operator="containsText" text="Blocked"/>
    <x:cfRule type="containsText" dxfId="62" priority="25" operator="containsText" text="unresolved"/>
    <x:cfRule type="containsText" dxfId="63" priority="26" operator="containsText" text="Not started"/>
    <x:cfRule type="containsText" dxfId="64" priority="27" operator="containsText" text="Not evidenced"/>
  </x:conditionalFormatting>
  <x:pageMargins left="0.7" right="0.7" top="0.75" bottom="0.75" header="0.3" footer="0.3"/>
  <x:tableParts count="1">
    <x:tablePart xmlns:r="http://schemas.openxmlformats.org/officeDocument/2006/relationships" r:id="Rc4755ccc4c084e74"/>
  </x:tableParts>
</x:worksheet>
</file>

<file path=xl/worksheets/sheet4.xml><?xml version="1.0" encoding="utf-8"?>
<x:worksheet xmlns:x="http://schemas.openxmlformats.org/spreadsheetml/2006/main">
  <x:sheetPr>
    <x:tabColor rgb="FF4472C4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4" hidden="0" customWidth="1"/>
    <x:col min="2" max="2" width="56" hidden="0" customWidth="1"/>
    <x:col min="3" max="3" width="14" hidden="0" customWidth="1"/>
    <x:col min="4" max="4" width="34" hidden="0" customWidth="1"/>
    <x:col min="5" max="5" width="46" hidden="0" customWidth="1"/>
    <x:col min="6" max="6" width="46" hidden="0" customWidth="1"/>
  </x:cols>
  <x:sheetData>
    <x:row r="1" ht="38" customHeight="1">
      <x:c r="A1" s="5" t="str">
        <x:v>Controlled decisions</x:v>
      </x:c>
      <x:c r="B1" s="5"/>
      <x:c r="C1" s="5"/>
      <x:c r="D1" s="5"/>
      <x:c r="E1" s="5"/>
      <x:c r="F1" s="5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4" customHeight="1">
      <x:c r="A2" s="8" t="str">
        <x:v>Approved and proposed decisions remain explicit. A proposed decision does not replace an approved decision until approval records that effect.</x:v>
      </x:c>
      <x:c r="B2" s="8"/>
      <x:c r="C2" s="8"/>
      <x:c r="D2" s="8"/>
      <x:c r="E2" s="8"/>
      <x:c r="F2" s="8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6" customHeight="1">
      <x:c r="A5" s="35" t="str">
        <x:v>Decision ID</x:v>
      </x:c>
      <x:c r="B5" s="35" t="str">
        <x:v>Decision</x:v>
      </x:c>
      <x:c r="C5" s="35" t="str">
        <x:v>Status</x:v>
      </x:c>
      <x:c r="D5" s="35" t="str">
        <x:v>Owning document</x:v>
      </x:c>
      <x:c r="E5" s="35" t="str">
        <x:v>Implementation effect</x:v>
      </x:c>
      <x:c r="F5" s="35" t="str">
        <x:v>Design effect</x:v>
      </x:c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2" t="str">
        <x:v>DEC-001</x:v>
      </x:c>
      <x:c r="B6" s="24" t="str">
        <x:v>Each site represents one procuring entity for MVP; organisational units are scoped within it.</x:v>
      </x:c>
      <x:c r="C6" s="2" t="str">
        <x:v>Approved</x:v>
      </x:c>
      <x:c r="D6" s="24" t="str">
        <x:v>CFG-CHG-002 / AUTH-ADR-001</x:v>
      </x:c>
      <x:c r="E6" s="24" t="str">
        <x:v>Do not add routine procuring-entity selectors.</x:v>
      </x:c>
      <x:c r="F6" s="24" t="str">
        <x:v>Show organisational scope only where it affects the task.</x:v>
      </x:c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44" customHeight="1">
      <x:c r="A7" s="2" t="str">
        <x:v>DEC-002</x:v>
      </x:c>
      <x:c r="B7" s="24" t="str">
        <x:v>Departmental consultation is optional evidence, not a mandatory workflow gate.</x:v>
      </x:c>
      <x:c r="C7" s="2" t="str">
        <x:v>Approved</x:v>
      </x:c>
      <x:c r="D7" s="24" t="str">
        <x:v>NDS-CHG-001</x:v>
      </x:c>
      <x:c r="E7" s="24" t="str">
        <x:v>Acceptance remains possible without consultation when authorised.</x:v>
      </x:c>
      <x:c r="F7" s="24" t="str">
        <x:v>Keep consultation in supporting detail.</x:v>
      </x:c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44" customHeight="1">
      <x:c r="A8" s="2" t="str">
        <x:v>DEC-003</x:v>
      </x:c>
      <x:c r="B8" s="24" t="str">
        <x:v>Requisitions and bids use structured requirement rows rather than attachment-first data capture.</x:v>
      </x:c>
      <x:c r="C8" s="2" t="str">
        <x:v>Approved</x:v>
      </x:c>
      <x:c r="D8" s="24" t="str">
        <x:v>REQ-CHG-001 / STD-TPL-001 / BDS-CHG-001</x:v>
      </x:c>
      <x:c r="E8" s="24" t="str">
        <x:v>Preserve stable row identities and typed responses.</x:v>
      </x:c>
      <x:c r="F8" s="24" t="str">
        <x:v>Generate concise task-oriented sections from metadata.</x:v>
      </x:c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44" customHeight="1">
      <x:c r="A9" s="2" t="str">
        <x:v>DEC-004</x:v>
      </x:c>
      <x:c r="B9" s="24" t="str">
        <x:v>Tender formats are curated controlled releases; administrators do not build legal templates through a generic field wizard.</x:v>
      </x:c>
      <x:c r="C9" s="2" t="str">
        <x:v>Approved</x:v>
      </x:c>
      <x:c r="D9" s="24" t="str">
        <x:v>STD-TPL-001</x:v>
      </x:c>
      <x:c r="E9" s="24" t="str">
        <x:v>Release tooling is controlled and manifest-based.</x:v>
      </x:c>
      <x:c r="F9" s="24" t="str">
        <x:v>Admin UI is inspection and approval status, not raw schema editing.</x:v>
      </x:c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44" customHeight="1">
      <x:c r="A10" s="2" t="str">
        <x:v>DEC-005</x:v>
      </x:c>
      <x:c r="B10" s="24" t="str">
        <x:v>Move tender-format administration to a dedicated STD Templates menu.</x:v>
      </x:c>
      <x:c r="C10" s="2" t="str">
        <x:v>Approved</x:v>
      </x:c>
      <x:c r="D10" s="24" t="str">
        <x:v>STD-TPL-001 / CFG-CHG-002</x:v>
      </x:c>
      <x:c r="E10" s="24" t="str">
        <x:v>One authoritative inspection surface.</x:v>
      </x:c>
      <x:c r="F10" s="24" t="str">
        <x:v>List, detail, previews, verification and release state are visible.</x:v>
      </x:c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44" customHeight="1">
      <x:c r="A11" s="2" t="str">
        <x:v>DEC-006</x:v>
      </x:c>
      <x:c r="B11" s="24" t="str">
        <x:v>The statutory 30% reservation denominator is the eligible value of the current complete APP, not the Budget ceiling.</x:v>
      </x:c>
      <x:c r="C11" s="2" t="str">
        <x:v>Approved</x:v>
      </x:c>
      <x:c r="D11" s="24" t="str">
        <x:v>LAW-REG-001 / PLN-CHG-001</x:v>
      </x:c>
      <x:c r="E11" s="24" t="str">
        <x:v>Compute from APP items and preserve denominator evidence.</x:v>
      </x:c>
      <x:c r="F11" s="24" t="str">
        <x:v>Show progress and lawful treatment without exposing internal rule machinery by default.</x:v>
      </x:c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44" customHeight="1">
      <x:c r="A12" s="2" t="str">
        <x:v>DEC-007</x:v>
      </x:c>
      <x:c r="B12" s="24" t="str">
        <x:v>Budget ceiling and affordability remain separate from the statutory reservation measure.</x:v>
      </x:c>
      <x:c r="C12" s="2" t="str">
        <x:v>Approved</x:v>
      </x:c>
      <x:c r="D12" s="24" t="str">
        <x:v>BUD-CHG-001 / PLN-CHG-001</x:v>
      </x:c>
      <x:c r="E12" s="24" t="str">
        <x:v>Separate services and data contracts.</x:v>
      </x:c>
      <x:c r="F12" s="24" t="str">
        <x:v>Do not ask users to enter a reservation denominator in Budget.</x:v>
      </x:c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44" customHeight="1">
      <x:c r="A13" s="2" t="str">
        <x:v>DEC-008</x:v>
      </x:c>
      <x:c r="B13" s="24" t="str">
        <x:v>County resident procurement is a separate measure from the 30% reservation programme.</x:v>
      </x:c>
      <x:c r="C13" s="2" t="str">
        <x:v>Approved</x:v>
      </x:c>
      <x:c r="D13" s="24" t="str">
        <x:v>LAW-REG-001 / PLN-CHG-001</x:v>
      </x:c>
      <x:c r="E13" s="24" t="str">
        <x:v>Separate flags, rules and reports.</x:v>
      </x:c>
      <x:c r="F13" s="24" t="str">
        <x:v>Do not combine them into one designation field or result.</x:v>
      </x:c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44" customHeight="1">
      <x:c r="A14" s="2" t="str">
        <x:v>DEC-009</x:v>
      </x:c>
      <x:c r="B14" s="24" t="str">
        <x:v>Tender Preparation and Tender Publication form one Tenders module and one coherent user journey.</x:v>
      </x:c>
      <x:c r="C14" s="2" t="str">
        <x:v>Approved</x:v>
      </x:c>
      <x:c r="D14" s="24" t="str">
        <x:v>TPR-CHG-001</x:v>
      </x:c>
      <x:c r="E14" s="24" t="str">
        <x:v>One lifecycle and ownership model.</x:v>
      </x:c>
      <x:c r="F14" s="24" t="str">
        <x:v>Preparation naturally continues into approval and publication evidence.</x:v>
      </x:c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44" customHeight="1">
      <x:c r="A15" s="2" t="str">
        <x:v>DEC-010</x:v>
      </x:c>
      <x:c r="B15" s="24" t="str">
        <x:v>For MVP, HOPF may manually confirm publication evidence for any configured channel; integration is not presumed.</x:v>
      </x:c>
      <x:c r="C15" s="2" t="str">
        <x:v>Approved</x:v>
      </x:c>
      <x:c r="D15" s="24" t="str">
        <x:v>TPR-CHG-001 / CFG-CHG-002</x:v>
      </x:c>
      <x:c r="E15" s="24" t="str">
        <x:v>Support manual evidence with actor/time/digest/reference.</x:v>
      </x:c>
      <x:c r="F15" s="24" t="str">
        <x:v>Show one channel list with the appropriate confirmation action.</x:v>
      </x:c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44" customHeight="1">
      <x:c r="A16" s="2" t="str">
        <x:v>DEC-011</x:v>
      </x:c>
      <x:c r="B16" s="24" t="str">
        <x:v>Suppliers start a bid atomically; there is no separate Declare interest or Follow Tender workflow.</x:v>
      </x:c>
      <x:c r="C16" s="2" t="str">
        <x:v>Approved</x:v>
      </x:c>
      <x:c r="D16" s="24" t="str">
        <x:v>BDS-CHG-001</x:v>
      </x:c>
      <x:c r="E16" s="24" t="str">
        <x:v>Create candidate registration, contact and workspace together.</x:v>
      </x:c>
      <x:c r="F16" s="24" t="str">
        <x:v>Use one direct Start bid action.</x:v>
      </x:c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44" customHeight="1">
      <x:c r="A17" s="2" t="str">
        <x:v>DEC-012</x:v>
      </x:c>
      <x:c r="B17" s="24" t="str">
        <x:v>General clarifications may be published before the deadline without disclosing candidate identity.</x:v>
      </x:c>
      <x:c r="C17" s="2" t="str">
        <x:v>Approved</x:v>
      </x:c>
      <x:c r="D17" s="24" t="str">
        <x:v>TPR-CHG-001 / BDS-CHG-001</x:v>
      </x:c>
      <x:c r="E17" s="24" t="str">
        <x:v>Separate question identity from public answer content.</x:v>
      </x:c>
      <x:c r="F17" s="24" t="str">
        <x:v>Suppliers see published clarification updates in the workspace.</x:v>
      </x:c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44" customHeight="1">
      <x:c r="A18" s="2" t="str">
        <x:v>DEC-013</x:v>
      </x:c>
      <x:c r="B18" s="24" t="str">
        <x:v>Any change to issued tender requirements requires an addendum with immutable identity and acknowledgement treatment.</x:v>
      </x:c>
      <x:c r="C18" s="2" t="str">
        <x:v>Approved</x:v>
      </x:c>
      <x:c r="D18" s="24" t="str">
        <x:v>TPR-CHG-001 / BDS-CHG-001</x:v>
      </x:c>
      <x:c r="E18" s="24" t="str">
        <x:v>Clarification cannot mutate published rows.</x:v>
      </x:c>
      <x:c r="F18" s="24" t="str">
        <x:v>Clearly distinguish Clarification from Addendum.</x:v>
      </x:c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44" customHeight="1">
      <x:c r="A19" s="2" t="str">
        <x:v>DEC-014</x:v>
      </x:c>
      <x:c r="B19" s="24" t="str">
        <x:v>Production electronic submission remains disabled by one deployment flag until operating and release gates pass.</x:v>
      </x:c>
      <x:c r="C19" s="2" t="str">
        <x:v>Approved</x:v>
      </x:c>
      <x:c r="D19" s="24" t="str">
        <x:v>BDS-CHG-001 / G1-REG-001</x:v>
      </x:c>
      <x:c r="E19" s="24" t="str">
        <x:v>Central gate; drafts remain safe.</x:v>
      </x:c>
      <x:c r="F19" s="24" t="str">
        <x:v>Use the approved temporary-unavailability message.</x:v>
      </x:c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44" customHeight="1">
      <x:c r="A20" s="2" t="str">
        <x:v>DEC-015</x:v>
      </x:c>
      <x:c r="B20" s="24" t="str">
        <x:v>Gate 1 ends when a sealed Bid Submission handoff is created; opening and evaluation are outside the current slice.</x:v>
      </x:c>
      <x:c r="C20" s="2" t="str">
        <x:v>Approved</x:v>
      </x:c>
      <x:c r="D20" s="24" t="str">
        <x:v>G1-REG-001 / BDS-CHG-001</x:v>
      </x:c>
      <x:c r="E20" s="24" t="str">
        <x:v>No premature downstream state changes.</x:v>
      </x:c>
      <x:c r="F20" s="24" t="str">
        <x:v>Receipt and submitted state only.</x:v>
      </x:c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44" customHeight="1">
      <x:c r="A21" s="2" t="str">
        <x:v>DEC-016</x:v>
      </x:c>
      <x:c r="B21" s="24" t="str">
        <x:v>Bid Opening, Evaluation and Award, Supplier Management, additional methods/products, Contract Management and integrations remain explicitly planned future work.</x:v>
      </x:c>
      <x:c r="C21" s="2" t="str">
        <x:v>Approved</x:v>
      </x:c>
      <x:c r="D21" s="24" t="str">
        <x:v>KT-RCA-001 / G1-REG-001</x:v>
      </x:c>
      <x:c r="E21" s="24" t="str">
        <x:v>Preserve extension contracts without implementing hidden workflows.</x:v>
      </x:c>
      <x:c r="F21" s="24" t="str">
        <x:v>Do not expose placeholder journeys as current capability.</x:v>
      </x:c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 ht="44" customHeight="1">
      <x:c r="A22" s="2" t="str">
        <x:v>DEC-017</x:v>
      </x:c>
      <x:c r="B22" s="24" t="str">
        <x:v>No meaningful record state may dead-end: the server must return exactly one actionable-now, waiting, blocked-with-remedy or completed next-step outcome for the current responsibility.</x:v>
      </x:c>
      <x:c r="C22" s="2" t="str">
        <x:v>Approved</x:v>
      </x:c>
      <x:c r="D22" s="24" t="str">
        <x:v>KT-STD-001 v1.8 / current module document</x:v>
      </x:c>
      <x:c r="E22" s="24" t="str">
        <x:v>Centralise next-step and guard evaluation and test every supported persona/state pair.</x:v>
      </x:c>
      <x:c r="F22" s="24" t="str">
        <x:v>Show one direct next-step block with owner and correction route; do not leave users to infer workflow from status.</x:v>
      </x:c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44" customHeight="1">
      <x:c r="A23" s="2" t="str">
        <x:v>DEC-018</x:v>
      </x:c>
      <x:c r="B23" s="24" t="str">
        <x:v>A Planning budget revision request is a cross-module hand-off only; it is not an amount change, reservation, budget revision or approval.</x:v>
      </x:c>
      <x:c r="C23" s="2" t="str">
        <x:v>Approved</x:v>
      </x:c>
      <x:c r="D23" s="24" t="str">
        <x:v>PLN-CHG-001 v1.27 / BUD-CHG-001 v1.11</x:v>
      </x:c>
      <x:c r="E23" s="24" t="str">
        <x:v>Keep Planning request identity and Budget-owned outcome separate from allocation facts.</x:v>
      </x:c>
      <x:c r="F23" s="24" t="str">
        <x:v>Explain what was requested, who acts next and what outcome returned without implying that funding changed.</x:v>
      </x:c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 ht="44" customHeight="1">
      <x:c r="A24" s="2" t="str">
        <x:v>DEC-019</x:v>
      </x:c>
      <x:c r="B24" s="24" t="str">
        <x:v>Plan activation creates a REQ-owned Purchase ready for requisition item in the existing Ready to start surface.</x:v>
      </x:c>
      <x:c r="C24" s="2" t="str">
        <x:v>Approved</x:v>
      </x:c>
      <x:c r="D24" s="24" t="str">
        <x:v>PLN-CHG-001 v1.27 / REQ-CHG-001 v1.12</x:v>
      </x:c>
      <x:c r="E24" s="24" t="str">
        <x:v>Use the existing requisition aggregate and lifecycle; add no parallel task record, state, role, command or approval stage.</x:v>
      </x:c>
      <x:c r="F24" s="24" t="str">
        <x:v>Expose the ready item in the current requisition workspace, not as another screen or queue.</x:v>
      </x:c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 ht="44" customHeight="1">
      <x:c r="A25" s="2" t="str">
        <x:v>DEC-020</x:v>
      </x:c>
      <x:c r="B25" s="24" t="str">
        <x:v>Journey orientation must help users act without duplicating or overwhelming the primary task.</x:v>
      </x:c>
      <x:c r="C25" s="2" t="str">
        <x:v>Approved</x:v>
      </x:c>
      <x:c r="D25" s="24" t="str">
        <x:v>KT-STD-001 v1.8 / Workflow Guidance Standard</x:v>
      </x:c>
      <x:c r="E25" s="24" t="str">
        <x:v>Derive restrained journey context from authoritative workflow state and hand-offs.</x:v>
      </x:c>
      <x:c r="F25" s="24" t="str">
        <x:v>Use concise stage orientation and supporting detail; never replace clear task language with internal state machinery.</x:v>
      </x:c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 ht="44" customHeight="1">
      <x:c r="A26" s="2" t="str">
        <x:v>DEC-021</x:v>
      </x:c>
      <x:c r="B26" s="24" t="str">
        <x:v>STD Templates is a transparent inspection and concern surface, not a runtime legal-template editor or second site-approval workflow.</x:v>
      </x:c>
      <x:c r="C26" s="2" t="str">
        <x:v>Proposed</x:v>
      </x:c>
      <x:c r="D26" s="24" t="str">
        <x:v>STD-TPL-001 v0.10 / STD-TPL-IMP-001 v1.0</x:v>
      </x:c>
      <x:c r="E26" s="24" t="str">
        <x:v>Install exact approved assets and expose projections; prohibit editable content DocTypes.</x:v>
      </x:c>
      <x:c r="F26" s="24" t="str">
        <x:v>Show coverage, exclusions, changes and gates with bounded Report concern.</x:v>
      </x:c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 ht="44" customHeight="1">
      <x:c r="A27" s="2" t="str">
        <x:v>DEC-022</x:v>
      </x:c>
      <x:c r="B27" s="24" t="str">
        <x:v>Fixture and production Bid-definition generation use one deterministic compiler and releases bind a versioned renderer adapter.</x:v>
      </x:c>
      <x:c r="C27" s="2" t="str">
        <x:v>Proposed</x:v>
      </x:c>
      <x:c r="D27" s="24" t="str">
        <x:v>STD-TPL-001 v0.10 / STD-TPL-IMP-001 v1.0</x:v>
      </x:c>
      <x:c r="E27" s="24" t="str">
        <x:v>One compiler implementation; adapter-bound rendering; no arbitrary fallback.</x:v>
      </x:c>
      <x:c r="F27" s="24" t="str">
        <x:v>Routine users see supported/unavailable outcomes; technical identities remain in collapsed detail.</x:v>
      </x:c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 ht="44" customHeight="1">
      <x:c r="A28" s="2" t="str">
        <x:v>DEC-023</x:v>
      </x:c>
      <x:c r="B28" s="24" t="str">
        <x:v>A release lifecycle change never automatically rebinds a Tender; Superseded may continue only with integrity, while Withdrawn blocks unpublished continuation.</x:v>
      </x:c>
      <x:c r="C28" s="2" t="str">
        <x:v>Proposed</x:v>
      </x:c>
      <x:c r="D28" s="24" t="str">
        <x:v>STD-TPL-001 v0.10 / TPR-CHG-001 v0.11</x:v>
      </x:c>
      <x:c r="E28" s="24" t="str">
        <x:v>Enforce the action matrix at every boundary and preserve published history.</x:v>
      </x:c>
      <x:c r="F28" s="24" t="str">
        <x:v>Show successor/withdrawal notice and one governed next step without an upgrade selector.</x:v>
      </x:c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</x:sheetData>
  <x:mergeCells>
    <x:mergeCell ref="A1:F1"/>
    <x:mergeCell ref="A2:F2"/>
  </x:mergeCells>
  <x:conditionalFormatting sqref="C6:C28">
    <x:cfRule type="containsText" dxfId="65" priority="1" operator="containsText" text="Approved"/>
    <x:cfRule type="containsText" dxfId="66" priority="2" operator="containsText" text="Passed"/>
    <x:cfRule type="containsText" dxfId="67" priority="3" operator="containsText" text="Released"/>
    <x:cfRule type="containsText" dxfId="68" priority="4" operator="containsText" text="Project Owner review"/>
    <x:cfRule type="containsText" dxfId="69" priority="5" operator="containsText" text="Pending"/>
    <x:cfRule type="containsText" dxfId="70" priority="6" operator="containsText" text="Blocked"/>
    <x:cfRule type="containsText" dxfId="71" priority="7" operator="containsText" text="unresolved"/>
    <x:cfRule type="containsText" dxfId="72" priority="8" operator="containsText" text="Not started"/>
    <x:cfRule type="containsText" dxfId="73" priority="9" operator="containsText" text="Not evidenced"/>
  </x:conditionalFormatting>
  <x:pageMargins left="0.7" right="0.7" top="0.75" bottom="0.75" header="0.3" footer="0.3"/>
  <x:tableParts count="1">
    <x:tablePart xmlns:r="http://schemas.openxmlformats.org/officeDocument/2006/relationships" r:id="R4db4c67d08734802"/>
  </x:tableParts>
</x:worksheet>
</file>

<file path=xl/worksheets/sheet5.xml><?xml version="1.0" encoding="utf-8"?>
<x:worksheet xmlns:x="http://schemas.openxmlformats.org/spreadsheetml/2006/main">
  <x:sheetPr>
    <x:tabColor rgb="FF4472C4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3" hidden="0" customWidth="1"/>
    <x:col min="2" max="2" width="22" hidden="0" customWidth="1"/>
    <x:col min="3" max="3" width="42" hidden="0" customWidth="1"/>
    <x:col min="4" max="4" width="46" hidden="0" customWidth="1"/>
    <x:col min="5" max="5" width="44" hidden="0" customWidth="1"/>
    <x:col min="6" max="6" width="38" hidden="0" customWidth="1"/>
    <x:col min="7" max="7" width="22" hidden="0" customWidth="1"/>
    <x:col min="8" max="8" width="13" hidden="0" customWidth="1"/>
    <x:col min="9" max="9" width="18" hidden="0" customWidth="1"/>
    <x:col min="10" max="10" width="16" hidden="0" customWidth="1"/>
    <x:col min="11" max="11" width="38" hidden="0" customWidth="1"/>
  </x:cols>
  <x:sheetData>
    <x:row r="1" ht="38" customHeight="1">
      <x:c r="A1" s="5" t="str">
        <x:v>Implementation and design delivery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4" customHeight="1">
      <x:c r="A2" s="8" t="str">
        <x:v>Use this as the shared correction and implementation queue for requirements, design and code. Update implementation and verification only from evidence; do not infer them from document approval.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6" customHeight="1">
      <x:c r="A5" s="35" t="str">
        <x:v>Item ID</x:v>
      </x:c>
      <x:c r="B5" s="35" t="str">
        <x:v>Area</x:v>
      </x:c>
      <x:c r="C5" s="35" t="str">
        <x:v>Required change</x:v>
      </x:c>
      <x:c r="D5" s="35" t="str">
        <x:v>Functional outcome</x:v>
      </x:c>
      <x:c r="E5" s="35" t="str">
        <x:v>Design outcome</x:v>
      </x:c>
      <x:c r="F5" s="35" t="str">
        <x:v>Owning document</x:v>
      </x:c>
      <x:c r="G5" s="35" t="str">
        <x:v>Requirement status</x:v>
      </x:c>
      <x:c r="H5" s="35" t="str">
        <x:v>Release gate</x:v>
      </x:c>
      <x:c r="I5" s="35" t="str">
        <x:v>Implementation</x:v>
      </x:c>
      <x:c r="J5" s="35" t="str">
        <x:v>Verification</x:v>
      </x:c>
      <x:c r="K5" s="35" t="str">
        <x:v>Evidence / notes</x:v>
      </x:c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2" t="str">
        <x:v>G1-001</x:v>
      </x:c>
      <x:c r="B6" s="24" t="str">
        <x:v>System Setup</x:v>
      </x:c>
      <x:c r="C6" s="24" t="str">
        <x:v>Add supplier-portal operating settings and clear action effects.</x:v>
      </x:c>
      <x:c r="D6" s="24" t="str">
        <x:v>Configure availability, support contact and public-facing controls.</x:v>
      </x:c>
      <x:c r="E6" s="24" t="str">
        <x:v>Task-oriented settings with effective-state explanation.</x:v>
      </x:c>
      <x:c r="F6" s="24" t="str">
        <x:v>CFG-CHG-002 v0.16</x:v>
      </x:c>
      <x:c r="G6" s="24" t="str">
        <x:v>Project Owner review</x:v>
      </x:c>
      <x:c r="H6" s="24" t="str">
        <x:v>Yes</x:v>
      </x:c>
      <x:c r="I6" s="24" t="str">
        <x:v>Not started</x:v>
      </x:c>
      <x:c r="J6" s="24" t="str">
        <x:v>Not started</x:v>
      </x:c>
      <x:c r="K6" s="24" t="str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44" customHeight="1">
      <x:c r="A7" s="2" t="str">
        <x:v>G1-002</x:v>
      </x:c>
      <x:c r="B7" s="24" t="str">
        <x:v>STD Templates</x:v>
      </x:c>
      <x:c r="C7" s="24" t="str">
        <x:v>Create dedicated STD Templates administration surface.</x:v>
      </x:c>
      <x:c r="D7" s="24" t="str">
        <x:v>Inspect installed formats, release identity, support and verification.</x:v>
      </x:c>
      <x:c r="E7" s="24" t="str">
        <x:v>List and detail views; no generic schema editor.</x:v>
      </x:c>
      <x:c r="F7" s="24" t="str">
        <x:v>CFG-CHG-002 v0.16 / STD-TPL-001 v0.10</x:v>
      </x:c>
      <x:c r="G7" s="24" t="str">
        <x:v>Project Owner review</x:v>
      </x:c>
      <x:c r="H7" s="24" t="str">
        <x:v>Yes</x:v>
      </x:c>
      <x:c r="I7" s="24" t="str">
        <x:v>Not started</x:v>
      </x:c>
      <x:c r="J7" s="24" t="str">
        <x:v>Not started</x:v>
      </x:c>
      <x:c r="K7" s="24" t="str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44" customHeight="1">
      <x:c r="A8" s="2" t="str">
        <x:v>G1-003</x:v>
      </x:c>
      <x:c r="B8" s="24" t="str">
        <x:v>STD Templates</x:v>
      </x:c>
      <x:c r="C8" s="24" t="str">
        <x:v>Rebuild IT Equipment release with structured supplier-response schema.</x:v>
      </x:c>
      <x:c r="D8" s="24" t="str">
        <x:v>Add stable row IDs, response types, evidence and declaration rules.</x:v>
      </x:c>
      <x:c r="E8" s="24" t="str">
        <x:v>Generated task sections for the supplier workspace.</x:v>
      </x:c>
      <x:c r="F8" s="24" t="str">
        <x:v>STD-TPL-001 v0.10</x:v>
      </x:c>
      <x:c r="G8" s="24" t="str">
        <x:v>Project Owner review</x:v>
      </x:c>
      <x:c r="H8" s="24" t="str">
        <x:v>Yes</x:v>
      </x:c>
      <x:c r="I8" s="24" t="str">
        <x:v>Not started</x:v>
      </x:c>
      <x:c r="J8" s="24" t="str">
        <x:v>Not started</x:v>
      </x:c>
      <x:c r="K8" s="24" t="str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44" customHeight="1">
      <x:c r="A9" s="2" t="str">
        <x:v>G1-004</x:v>
      </x:c>
      <x:c r="B9" s="24" t="str">
        <x:v>STD Templates</x:v>
      </x:c>
      <x:c r="C9" s="24" t="str">
        <x:v>Add evaluation and contract-destination mappings.</x:v>
      </x:c>
      <x:c r="D9" s="24" t="str">
        <x:v>Every carried response has explicit downstream treatment; group-level evaluation allowed where defined.</x:v>
      </x:c>
      <x:c r="E9" s="24" t="str">
        <x:v>Admin sees labelled mapping summaries, not raw JSON.</x:v>
      </x:c>
      <x:c r="F9" s="24" t="str">
        <x:v>STD-TPL-001 v0.10</x:v>
      </x:c>
      <x:c r="G9" s="24" t="str">
        <x:v>Project Owner review</x:v>
      </x:c>
      <x:c r="H9" s="24" t="str">
        <x:v>Yes</x:v>
      </x:c>
      <x:c r="I9" s="24" t="str">
        <x:v>Not started</x:v>
      </x:c>
      <x:c r="J9" s="24" t="str">
        <x:v>Not started</x:v>
      </x:c>
      <x:c r="K9" s="24" t="str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44" customHeight="1">
      <x:c r="A10" s="2" t="str">
        <x:v>G1-005</x:v>
      </x:c>
      <x:c r="B10" s="24" t="str">
        <x:v>STD Templates</x:v>
      </x:c>
      <x:c r="C10" s="24" t="str">
        <x:v>Verify and approve the exact release manifest.</x:v>
      </x:c>
      <x:c r="D10" s="24" t="str">
        <x:v>Digest-bound owner approval of the rebuilt bundle.</x:v>
      </x:c>
      <x:c r="E10" s="24" t="str">
        <x:v>Exact blocker and approval identity visible.</x:v>
      </x:c>
      <x:c r="F10" s="24" t="str">
        <x:v>STD-TPL-001 v0.10</x:v>
      </x:c>
      <x:c r="G10" s="24" t="str">
        <x:v>Project Owner review</x:v>
      </x:c>
      <x:c r="H10" s="24" t="str">
        <x:v>Yes</x:v>
      </x:c>
      <x:c r="I10" s="24" t="str">
        <x:v>Not started</x:v>
      </x:c>
      <x:c r="J10" s="24" t="str">
        <x:v>Pending</x:v>
      </x:c>
      <x:c r="K10" s="24" t="str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44" customHeight="1">
      <x:c r="A11" s="2" t="str">
        <x:v>G1-006</x:v>
      </x:c>
      <x:c r="B11" s="24" t="str">
        <x:v>Tenders</x:v>
      </x:c>
      <x:c r="C11" s="24" t="str">
        <x:v>Consume only an authorised requisition handoff.</x:v>
      </x:c>
      <x:c r="D11" s="24" t="str">
        <x:v>Reject absent, stale or unauthorised source data.</x:v>
      </x:c>
      <x:c r="E11" s="24" t="str">
        <x:v>Name the source problem and owner without technical codes.</x:v>
      </x:c>
      <x:c r="F11" s="24" t="str">
        <x:v>REQ-CHG-001 v1.12 / TPR-CHG-001 v0.11</x:v>
      </x:c>
      <x:c r="G11" s="24" t="str">
        <x:v>Mixed approved/proposed</x:v>
      </x:c>
      <x:c r="H11" s="24" t="str">
        <x:v>Yes</x:v>
      </x:c>
      <x:c r="I11" s="24" t="str">
        <x:v>Not started</x:v>
      </x:c>
      <x:c r="J11" s="24" t="str">
        <x:v>Not started</x:v>
      </x:c>
      <x:c r="K11" s="24" t="str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44" customHeight="1">
      <x:c r="A12" s="2" t="str">
        <x:v>G1-007</x:v>
      </x:c>
      <x:c r="B12" s="24" t="str">
        <x:v>Tenders</x:v>
      </x:c>
      <x:c r="C12" s="24" t="str">
        <x:v>Prepare tender from exact approved template release.</x:v>
      </x:c>
      <x:c r="D12" s="24" t="str">
        <x:v>Bind template, renderer and response schema identities.</x:v>
      </x:c>
      <x:c r="E12" s="24" t="str">
        <x:v>Progressive preparation journey with concise supporting detail.</x:v>
      </x:c>
      <x:c r="F12" s="24" t="str">
        <x:v>TPR-CHG-001 v0.11 / STD-TPL-001 v0.10</x:v>
      </x:c>
      <x:c r="G12" s="24" t="str">
        <x:v>Project Owner review</x:v>
      </x:c>
      <x:c r="H12" s="24" t="str">
        <x:v>Yes</x:v>
      </x:c>
      <x:c r="I12" s="24" t="str">
        <x:v>Not started</x:v>
      </x:c>
      <x:c r="J12" s="24" t="str">
        <x:v>Not started</x:v>
      </x:c>
      <x:c r="K12" s="24" t="str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44" customHeight="1">
      <x:c r="A13" s="2" t="str">
        <x:v>G1-008</x:v>
      </x:c>
      <x:c r="B13" s="24" t="str">
        <x:v>Tenders</x:v>
      </x:c>
      <x:c r="C13" s="24" t="str">
        <x:v>Support publication confirmation without presuming integrations.</x:v>
      </x:c>
      <x:c r="D13" s="24" t="str">
        <x:v>HOPF may record evidence for configured channels.</x:v>
      </x:c>
      <x:c r="E13" s="24" t="str">
        <x:v>Clear confirmed/evidence-required states and direct actions.</x:v>
      </x:c>
      <x:c r="F13" s="24" t="str">
        <x:v>TPR-CHG-001 v0.11</x:v>
      </x:c>
      <x:c r="G13" s="24" t="str">
        <x:v>Project Owner review</x:v>
      </x:c>
      <x:c r="H13" s="24" t="str">
        <x:v>Yes</x:v>
      </x:c>
      <x:c r="I13" s="24" t="str">
        <x:v>Not started</x:v>
      </x:c>
      <x:c r="J13" s="24" t="str">
        <x:v>Not started</x:v>
      </x:c>
      <x:c r="K13" s="24" t="str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44" customHeight="1">
      <x:c r="A14" s="2" t="str">
        <x:v>G1-009</x:v>
      </x:c>
      <x:c r="B14" s="24" t="str">
        <x:v>Tenders</x:v>
      </x:c>
      <x:c r="C14" s="24" t="str">
        <x:v>Implement candidate clarifications and published answers.</x:v>
      </x:c>
      <x:c r="D14" s="24" t="str">
        <x:v>Protect candidate identity and publish general answers lawfully.</x:v>
      </x:c>
      <x:c r="E14" s="24" t="str">
        <x:v>One understandable clarification feed.</x:v>
      </x:c>
      <x:c r="F14" s="24" t="str">
        <x:v>TPR-CHG-001 v0.11 / BDS-CHG-001 v0.7</x:v>
      </x:c>
      <x:c r="G14" s="24" t="str">
        <x:v>Project Owner review</x:v>
      </x:c>
      <x:c r="H14" s="24" t="str">
        <x:v>No</x:v>
      </x:c>
      <x:c r="I14" s="24" t="str">
        <x:v>Not started</x:v>
      </x:c>
      <x:c r="J14" s="24" t="str">
        <x:v>Not started</x:v>
      </x:c>
      <x:c r="K14" s="24" t="str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44" customHeight="1">
      <x:c r="A15" s="2" t="str">
        <x:v>G1-010</x:v>
      </x:c>
      <x:c r="B15" s="24" t="str">
        <x:v>Tenders</x:v>
      </x:c>
      <x:c r="C15" s="24" t="str">
        <x:v>Implement addenda as the only requirement-change mechanism.</x:v>
      </x:c>
      <x:c r="D15" s="24" t="str">
        <x:v>Issue immutable addendum and update affected bid definition.</x:v>
      </x:c>
      <x:c r="E15" s="24" t="str">
        <x:v>Prominent change notice and acknowledgement state.</x:v>
      </x:c>
      <x:c r="F15" s="24" t="str">
        <x:v>TPR-CHG-001 v0.11 / BDS-CHG-001 v0.7</x:v>
      </x:c>
      <x:c r="G15" s="24" t="str">
        <x:v>Project Owner review</x:v>
      </x:c>
      <x:c r="H15" s="24" t="str">
        <x:v>Yes</x:v>
      </x:c>
      <x:c r="I15" s="24" t="str">
        <x:v>Not started</x:v>
      </x:c>
      <x:c r="J15" s="24" t="str">
        <x:v>Not started</x:v>
      </x:c>
      <x:c r="K15" s="24" t="str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44" customHeight="1">
      <x:c r="A16" s="2" t="str">
        <x:v>G1-011</x:v>
      </x:c>
      <x:c r="B16" s="24" t="str">
        <x:v>Public Portal</x:v>
      </x:c>
      <x:c r="C16" s="24" t="str">
        <x:v>Publish tender list and tender detail pages.</x:v>
      </x:c>
      <x:c r="D16" s="24" t="str">
        <x:v>Public read access to issued tenders and current documents.</x:v>
      </x:c>
      <x:c r="E16" s="24" t="str">
        <x:v>Simple search/list/detail; reusable framework pages where suitable.</x:v>
      </x:c>
      <x:c r="F16" s="24" t="str">
        <x:v>TPR-CHG-001 v0.11 / BDS-CHG-001 v0.7</x:v>
      </x:c>
      <x:c r="G16" s="24" t="str">
        <x:v>Project Owner review</x:v>
      </x:c>
      <x:c r="H16" s="24" t="str">
        <x:v>Yes</x:v>
      </x:c>
      <x:c r="I16" s="24" t="str">
        <x:v>Not started</x:v>
      </x:c>
      <x:c r="J16" s="24" t="str">
        <x:v>Not started</x:v>
      </x:c>
      <x:c r="K16" s="24" t="str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44" customHeight="1">
      <x:c r="A17" s="2" t="str">
        <x:v>G1-012</x:v>
      </x:c>
      <x:c r="B17" s="24" t="str">
        <x:v>Supplier Access</x:v>
      </x:c>
      <x:c r="C17" s="24" t="str">
        <x:v>Use framework registration/login and return-to-tender behaviour.</x:v>
      </x:c>
      <x:c r="D17" s="24" t="str">
        <x:v>Authenticate supplier contact and preserve intended destination.</x:v>
      </x:c>
      <x:c r="E17" s="24" t="str">
        <x:v>Direct access with minimal account friction.</x:v>
      </x:c>
      <x:c r="F17" s="24" t="str">
        <x:v>BDS-CHG-001 v0.7</x:v>
      </x:c>
      <x:c r="G17" s="24" t="str">
        <x:v>Project Owner review</x:v>
      </x:c>
      <x:c r="H17" s="24" t="str">
        <x:v>Yes</x:v>
      </x:c>
      <x:c r="I17" s="24" t="str">
        <x:v>Not started</x:v>
      </x:c>
      <x:c r="J17" s="24" t="str">
        <x:v>Not started</x:v>
      </x:c>
      <x:c r="K17" s="24" t="str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44" customHeight="1">
      <x:c r="A18" s="2" t="str">
        <x:v>G1-013</x:v>
      </x:c>
      <x:c r="B18" s="24" t="str">
        <x:v>Supplier Access</x:v>
      </x:c>
      <x:c r="C18" s="24" t="str">
        <x:v>Scope users to their own supplier organisation.</x:v>
      </x:c>
      <x:c r="D18" s="24" t="str">
        <x:v>Use the framework permission extension point.</x:v>
      </x:c>
      <x:c r="E18" s="24" t="str">
        <x:v>Never expose cross-supplier records or selectors.</x:v>
      </x:c>
      <x:c r="F18" s="24" t="str">
        <x:v>BDS-CHG-001 v0.7 / AUTH-ADR-001 v1.10</x:v>
      </x:c>
      <x:c r="G18" s="24" t="str">
        <x:v>Mixed proposed/approved</x:v>
      </x:c>
      <x:c r="H18" s="24" t="str">
        <x:v>Yes</x:v>
      </x:c>
      <x:c r="I18" s="24" t="str">
        <x:v>Not started</x:v>
      </x:c>
      <x:c r="J18" s="24" t="str">
        <x:v>Not started</x:v>
      </x:c>
      <x:c r="K18" s="24" t="str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44" customHeight="1">
      <x:c r="A19" s="2" t="str">
        <x:v>G1-014</x:v>
      </x:c>
      <x:c r="B19" s="24" t="str">
        <x:v>Bid Workspace</x:v>
      </x:c>
      <x:c r="C19" s="24" t="str">
        <x:v>Make Start bid atomic.</x:v>
      </x:c>
      <x:c r="D19" s="24" t="str">
        <x:v>Create candidate registration, contact and bid workspace together.</x:v>
      </x:c>
      <x:c r="E19" s="24" t="str">
        <x:v>Single Start bid action and deterministic recovery.</x:v>
      </x:c>
      <x:c r="F19" s="24" t="str">
        <x:v>BDS-CHG-001 v0.7</x:v>
      </x:c>
      <x:c r="G19" s="24" t="str">
        <x:v>Project Owner review</x:v>
      </x:c>
      <x:c r="H19" s="24" t="str">
        <x:v>Yes</x:v>
      </x:c>
      <x:c r="I19" s="24" t="str">
        <x:v>Not started</x:v>
      </x:c>
      <x:c r="J19" s="24" t="str">
        <x:v>Not started</x:v>
      </x:c>
      <x:c r="K19" s="24" t="str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44" customHeight="1">
      <x:c r="A20" s="2" t="str">
        <x:v>G1-015</x:v>
      </x:c>
      <x:c r="B20" s="24" t="str">
        <x:v>Bid Workspace</x:v>
      </x:c>
      <x:c r="C20" s="24" t="str">
        <x:v>Generate the workspace from the exact PublishedBidDefinition.</x:v>
      </x:c>
      <x:c r="D20" s="24" t="str">
        <x:v>Render only supported typed controls and immutable row identities.</x:v>
      </x:c>
      <x:c r="E20" s="24" t="str">
        <x:v>Goods, Works and Services differ through metadata, not bespoke page forks.</x:v>
      </x:c>
      <x:c r="F20" s="24" t="str">
        <x:v>BDS-CHG-001 v0.7 / STD-TPL-001 v0.10</x:v>
      </x:c>
      <x:c r="G20" s="24" t="str">
        <x:v>Project Owner review</x:v>
      </x:c>
      <x:c r="H20" s="24" t="str">
        <x:v>Yes</x:v>
      </x:c>
      <x:c r="I20" s="24" t="str">
        <x:v>Not started</x:v>
      </x:c>
      <x:c r="J20" s="24" t="str">
        <x:v>Not started</x:v>
      </x:c>
      <x:c r="K20" s="24" t="str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44" customHeight="1">
      <x:c r="A21" s="2" t="str">
        <x:v>G1-016</x:v>
      </x:c>
      <x:c r="B21" s="24" t="str">
        <x:v>Bid Workspace</x:v>
      </x:c>
      <x:c r="C21" s="24" t="str">
        <x:v>Support documents, company details, requirements, price and review tasks.</x:v>
      </x:c>
      <x:c r="D21" s="24" t="str">
        <x:v>Persist draft answers and validation state per row.</x:v>
      </x:c>
      <x:c r="E21" s="24" t="str">
        <x:v>Short, structured task sections with progress and actionable errors.</x:v>
      </x:c>
      <x:c r="F21" s="24" t="str">
        <x:v>BDS-CHG-001 v0.7</x:v>
      </x:c>
      <x:c r="G21" s="24" t="str">
        <x:v>Project Owner review</x:v>
      </x:c>
      <x:c r="H21" s="24" t="str">
        <x:v>Yes</x:v>
      </x:c>
      <x:c r="I21" s="24" t="str">
        <x:v>Not started</x:v>
      </x:c>
      <x:c r="J21" s="24" t="str">
        <x:v>Not started</x:v>
      </x:c>
      <x:c r="K21" s="24" t="str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 ht="44" customHeight="1">
      <x:c r="A22" s="2" t="str">
        <x:v>G1-017</x:v>
      </x:c>
      <x:c r="B22" s="24" t="str">
        <x:v>Bid Workspace</x:v>
      </x:c>
      <x:c r="C22" s="24" t="str">
        <x:v>Handle addendum refresh and acknowledgement safely.</x:v>
      </x:c>
      <x:c r="D22" s="24" t="str">
        <x:v>Detect definition change, preserve compatible answers and require acknowledgement.</x:v>
      </x:c>
      <x:c r="E22" s="24" t="str">
        <x:v>Explain exactly what changed and what the supplier must revisit.</x:v>
      </x:c>
      <x:c r="F22" s="24" t="str">
        <x:v>BDS-CHG-001 v0.7</x:v>
      </x:c>
      <x:c r="G22" s="24" t="str">
        <x:v>Project Owner review</x:v>
      </x:c>
      <x:c r="H22" s="24" t="str">
        <x:v>Yes</x:v>
      </x:c>
      <x:c r="I22" s="24" t="str">
        <x:v>Not started</x:v>
      </x:c>
      <x:c r="J22" s="24" t="str">
        <x:v>Not started</x:v>
      </x:c>
      <x:c r="K22" s="24" t="str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44" customHeight="1">
      <x:c r="A23" s="2" t="str">
        <x:v>G1-018</x:v>
      </x:c>
      <x:c r="B23" s="24" t="str">
        <x:v>Bid Submission</x:v>
      </x:c>
      <x:c r="C23" s="24" t="str">
        <x:v>Validate submission availability centrally.</x:v>
      </x:c>
      <x:c r="D23" s="24" t="str">
        <x:v>One deployment flag plus deadline, release and operating checks.</x:v>
      </x:c>
      <x:c r="E23" s="24" t="str">
        <x:v>Approved temporary-unavailability message; drafts remain safe.</x:v>
      </x:c>
      <x:c r="F23" s="24" t="str">
        <x:v>BDS-CHG-001 v0.7 / CFG-CHG-002 v0.16</x:v>
      </x:c>
      <x:c r="G23" s="24" t="str">
        <x:v>Project Owner review</x:v>
      </x:c>
      <x:c r="H23" s="24" t="str">
        <x:v>Yes</x:v>
      </x:c>
      <x:c r="I23" s="24" t="str">
        <x:v>Not started</x:v>
      </x:c>
      <x:c r="J23" s="24" t="str">
        <x:v>Not started</x:v>
      </x:c>
      <x:c r="K23" s="24" t="str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 ht="44" customHeight="1">
      <x:c r="A24" s="2" t="str">
        <x:v>G1-019</x:v>
      </x:c>
      <x:c r="B24" s="24" t="str">
        <x:v>Bid Submission</x:v>
      </x:c>
      <x:c r="C24" s="24" t="str">
        <x:v>Capture lawful signer authority and declarations.</x:v>
      </x:c>
      <x:c r="D24" s="24" t="str">
        <x:v>Use typed declarations and identity evidence; do not use a drawn-image signature as a cryptographic signature.</x:v>
      </x:c>
      <x:c r="E24" s="24" t="str">
        <x:v>Plain explanation of authority and consequence.</x:v>
      </x:c>
      <x:c r="F24" s="24" t="str">
        <x:v>BDS-CHG-001 v0.7 / STD-TPL-001 v0.10</x:v>
      </x:c>
      <x:c r="G24" s="24" t="str">
        <x:v>Project Owner review</x:v>
      </x:c>
      <x:c r="H24" s="24" t="str">
        <x:v>Yes</x:v>
      </x:c>
      <x:c r="I24" s="24" t="str">
        <x:v>Not started</x:v>
      </x:c>
      <x:c r="J24" s="24" t="str">
        <x:v>Not started</x:v>
      </x:c>
      <x:c r="K24" s="24" t="str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 ht="44" customHeight="1">
      <x:c r="A25" s="2" t="str">
        <x:v>G1-020</x:v>
      </x:c>
      <x:c r="B25" s="24" t="str">
        <x:v>Bid Submission</x:v>
      </x:c>
      <x:c r="C25" s="24" t="str">
        <x:v>Handle tender security/deposit evidence from template metadata.</x:v>
      </x:c>
      <x:c r="D25" s="24" t="str">
        <x:v>Validate applicable instrument, evidence and expiry rules.</x:v>
      </x:c>
      <x:c r="E25" s="24" t="str">
        <x:v>Show only the instrument actually required.</x:v>
      </x:c>
      <x:c r="F25" s="24" t="str">
        <x:v>BDS-CHG-001 v0.7 / STD-TPL-001 v0.10</x:v>
      </x:c>
      <x:c r="G25" s="24" t="str">
        <x:v>Project Owner review</x:v>
      </x:c>
      <x:c r="H25" s="24" t="str">
        <x:v>Yes</x:v>
      </x:c>
      <x:c r="I25" s="24" t="str">
        <x:v>Not started</x:v>
      </x:c>
      <x:c r="J25" s="24" t="str">
        <x:v>Not started</x:v>
      </x:c>
      <x:c r="K25" s="24" t="str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 ht="44" customHeight="1">
      <x:c r="A26" s="2" t="str">
        <x:v>G1-021</x:v>
      </x:c>
      <x:c r="B26" s="24" t="str">
        <x:v>Bid Submission</x:v>
      </x:c>
      <x:c r="C26" s="24" t="str">
        <x:v>Seal bid and create immutable receipt atomically.</x:v>
      </x:c>
      <x:c r="D26" s="24" t="str">
        <x:v>One transaction creates sealed handoff and receipt identity.</x:v>
      </x:c>
      <x:c r="E26" s="24" t="str">
        <x:v>Clear submitted state and downloadable receipt.</x:v>
      </x:c>
      <x:c r="F26" s="24" t="str">
        <x:v>BDS-CHG-001 v0.7</x:v>
      </x:c>
      <x:c r="G26" s="24" t="str">
        <x:v>Project Owner review</x:v>
      </x:c>
      <x:c r="H26" s="24" t="str">
        <x:v>Yes</x:v>
      </x:c>
      <x:c r="I26" s="24" t="str">
        <x:v>Not started</x:v>
      </x:c>
      <x:c r="J26" s="24" t="str">
        <x:v>Not started</x:v>
      </x:c>
      <x:c r="K26" s="24" t="str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 ht="44" customHeight="1">
      <x:c r="A27" s="2" t="str">
        <x:v>G1-022</x:v>
      </x:c>
      <x:c r="B27" s="24" t="str">
        <x:v>Integrated Verification</x:v>
      </x:c>
      <x:c r="C27" s="24" t="str">
        <x:v>Reconcile SEED-001 to Gate 1 and reservation corrections.</x:v>
      </x:c>
      <x:c r="D27" s="24" t="str">
        <x:v>One consistent actor/date/value/identity pack.</x:v>
      </x:c>
      <x:c r="E27" s="24" t="str">
        <x:v>Artboards and tests use the same isolated fixtures.</x:v>
      </x:c>
      <x:c r="F27" s="24" t="str">
        <x:v>SEED-001 v1.3</x:v>
      </x:c>
      <x:c r="G27" s="24" t="str">
        <x:v>Approved requirement</x:v>
      </x:c>
      <x:c r="H27" s="24" t="str">
        <x:v>Yes</x:v>
      </x:c>
      <x:c r="I27" s="24" t="str">
        <x:v>Not started</x:v>
      </x:c>
      <x:c r="J27" s="24" t="str">
        <x:v>Pending</x:v>
      </x:c>
      <x:c r="K27" s="24" t="str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 ht="44" customHeight="1">
      <x:c r="A28" s="2" t="str">
        <x:v>G1-023</x:v>
      </x:c>
      <x:c r="B28" s="24" t="str">
        <x:v>Integrated Verification</x:v>
      </x:c>
      <x:c r="C28" s="24" t="str">
        <x:v>Run end-to-end public/vendor fixture.</x:v>
      </x:c>
      <x:c r="D28" s="24" t="str">
        <x:v>Prove requisition handoff through sealed submission without crossing into opening.</x:v>
      </x:c>
      <x:c r="E28" s="24" t="str">
        <x:v>Verify role-specific happy paths and failure states.</x:v>
      </x:c>
      <x:c r="F28" s="24" t="str">
        <x:v>G1-REG-001 v1.1 / STD-ST-001 v0.5</x:v>
      </x:c>
      <x:c r="G28" s="24" t="str">
        <x:v>Blocked by unresolved standard</x:v>
      </x:c>
      <x:c r="H28" s="24" t="str">
        <x:v>Yes</x:v>
      </x:c>
      <x:c r="I28" s="24" t="str">
        <x:v>Not started</x:v>
      </x:c>
      <x:c r="J28" s="24" t="str">
        <x:v>Not started</x:v>
      </x:c>
      <x:c r="K28" s="24" t="str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 ht="44" customHeight="1">
      <x:c r="A29" s="2" t="str">
        <x:v>G1-024</x:v>
      </x:c>
      <x:c r="B29" s="24" t="str">
        <x:v>Release</x:v>
      </x:c>
      <x:c r="C29" s="24" t="str">
        <x:v>Enable production submission only after operating-profile approval.</x:v>
      </x:c>
      <x:c r="D29" s="24" t="str">
        <x:v>Confirm support, incident, recovery, monitoring and authority readiness.</x:v>
      </x:c>
      <x:c r="E29" s="24" t="str">
        <x:v>No hidden or partial enablement.</x:v>
      </x:c>
      <x:c r="F29" s="24" t="str">
        <x:v>G1-REG-001 v1.1 / BDS-CHG-001 v0.7</x:v>
      </x:c>
      <x:c r="G29" s="24" t="str">
        <x:v>Project Owner review</x:v>
      </x:c>
      <x:c r="H29" s="24" t="str">
        <x:v>Yes</x:v>
      </x:c>
      <x:c r="I29" s="24" t="str">
        <x:v>Not started</x:v>
      </x:c>
      <x:c r="J29" s="24" t="str">
        <x:v>Not started</x:v>
      </x:c>
      <x:c r="K29" s="24" t="str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 ht="44" customHeight="1">
      <x:c r="A30" s="2" t="str">
        <x:v>G1-025</x:v>
      </x:c>
      <x:c r="B30" s="24" t="str">
        <x:v>STD Templates</x:v>
      </x:c>
      <x:c r="C30" s="24" t="str">
        <x:v>Implement the exact installed-release runtime authority.</x:v>
      </x:c>
      <x:c r="D30" s="24" t="str">
        <x:v>Immutable registry/assets, transactionally verified installation and owner projections.</x:v>
      </x:c>
      <x:c r="E30" s="24" t="str">
        <x:v>No new authoring or adoption-approval surface.</x:v>
      </x:c>
      <x:c r="F30" s="24" t="str">
        <x:v>STD-TPL-IMP-001 v1.0</x:v>
      </x:c>
      <x:c r="G30" s="24" t="str">
        <x:v>Project Owner review</x:v>
      </x:c>
      <x:c r="H30" s="24" t="str">
        <x:v>Yes</x:v>
      </x:c>
      <x:c r="I30" s="24" t="str">
        <x:v>Not started</x:v>
      </x:c>
      <x:c r="J30" s="24" t="str">
        <x:v>Not started</x:v>
      </x:c>
      <x:c r="K30" s="24" t="str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 ht="44" customHeight="1">
      <x:c r="A31" s="2" t="str">
        <x:v>G1-026</x:v>
      </x:c>
      <x:c r="B31" s="24" t="str">
        <x:v>STD Templates</x:v>
      </x:c>
      <x:c r="C31" s="24" t="str">
        <x:v>Expose complete coverage, exclusions and generated release comparison.</x:v>
      </x:c>
      <x:c r="D31" s="24" t="str">
        <x:v>Paged inspection from manifest-owned projections.</x:v>
      </x:c>
      <x:c r="E31" s="24" t="str">
        <x:v>Coverage and changes section with plain summaries and drill-down, not raw JSON.</x:v>
      </x:c>
      <x:c r="F31" s="24" t="str">
        <x:v>STD-TPL-001 v0.10 / STD-TPL-IMP-001 v1.0</x:v>
      </x:c>
      <x:c r="G31" s="24" t="str">
        <x:v>Project Owner review</x:v>
      </x:c>
      <x:c r="H31" s="24" t="str">
        <x:v>Yes</x:v>
      </x:c>
      <x:c r="I31" s="24" t="str">
        <x:v>Not started</x:v>
      </x:c>
      <x:c r="J31" s="24" t="str">
        <x:v>Not started</x:v>
      </x:c>
      <x:c r="K31" s="24" t="str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 ht="44" customHeight="1">
      <x:c r="A32" s="2" t="str">
        <x:v>G1-027</x:v>
      </x:c>
      <x:c r="B32" s="24" t="str">
        <x:v>STD Templates</x:v>
      </x:c>
      <x:c r="C32" s="24" t="str">
        <x:v>Add bounded release concern capture.</x:v>
      </x:c>
      <x:c r="D32" s="24" t="str">
        <x:v>Create and resolve a concern without automatic content or lifecycle effect.</x:v>
      </x:c>
      <x:c r="E32" s="24" t="str">
        <x:v>One Report concern dialog in Verification.</x:v>
      </x:c>
      <x:c r="F32" s="24" t="str">
        <x:v>STD-TPL-001 v0.10 / AUTH-ADR-001 v1.10</x:v>
      </x:c>
      <x:c r="G32" s="24" t="str">
        <x:v>Project Owner review</x:v>
      </x:c>
      <x:c r="H32" s="24" t="str">
        <x:v>No</x:v>
      </x:c>
      <x:c r="I32" s="24" t="str">
        <x:v>Not started</x:v>
      </x:c>
      <x:c r="J32" s="24" t="str">
        <x:v>Not started</x:v>
      </x:c>
      <x:c r="K32" s="24" t="str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 ht="44" customHeight="1">
      <x:c r="A33" s="2" t="str">
        <x:v>G1-028</x:v>
      </x:c>
      <x:c r="B33" s="24" t="str">
        <x:v>Template runtime</x:v>
      </x:c>
      <x:c r="C33" s="24" t="str">
        <x:v>Use one compiler and registered renderer adapters.</x:v>
      </x:c>
      <x:c r="D33" s="24" t="str">
        <x:v>Canonical parity for fixture/production; exact adapter/version compatibility.</x:v>
      </x:c>
      <x:c r="E33" s="24" t="str">
        <x:v>Technical identities remain collapsed; routine failure copy is direct.</x:v>
      </x:c>
      <x:c r="F33" s="24" t="str">
        <x:v>STD-TPL-001 v0.10 / STD-TPL-IMP-001 v1.0</x:v>
      </x:c>
      <x:c r="G33" s="24" t="str">
        <x:v>Project Owner review</x:v>
      </x:c>
      <x:c r="H33" s="24" t="str">
        <x:v>Yes</x:v>
      </x:c>
      <x:c r="I33" s="24" t="str">
        <x:v>Not started</x:v>
      </x:c>
      <x:c r="J33" s="24" t="str">
        <x:v>Not started</x:v>
      </x:c>
      <x:c r="K33" s="24" t="str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 ht="44" customHeight="1">
      <x:c r="A34" s="2" t="str">
        <x:v>G1-029</x:v>
      </x:c>
      <x:c r="B34" s="24" t="str">
        <x:v>Tenders</x:v>
      </x:c>
      <x:c r="C34" s="24" t="str">
        <x:v>Enforce Superseded release continuation without rebinding.</x:v>
      </x:c>
      <x:c r="D34" s="24" t="str">
        <x:v>Only already-bound unpublished Tenders with passing integrity/adapters continue.</x:v>
      </x:c>
      <x:c r="E34" s="24" t="str">
        <x:v>Show successor notice and preserved exact release.</x:v>
      </x:c>
      <x:c r="F34" s="24" t="str">
        <x:v>TPR-CHG-001 v0.11 / STD-TPL-001 v0.10</x:v>
      </x:c>
      <x:c r="G34" s="24" t="str">
        <x:v>Project Owner review</x:v>
      </x:c>
      <x:c r="H34" s="24" t="str">
        <x:v>Yes</x:v>
      </x:c>
      <x:c r="I34" s="24" t="str">
        <x:v>Not started</x:v>
      </x:c>
      <x:c r="J34" s="24" t="str">
        <x:v>Not started</x:v>
      </x:c>
      <x:c r="K34" s="24" t="str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 ht="44" customHeight="1">
      <x:c r="A35" s="2" t="str">
        <x:v>G1-030</x:v>
      </x:c>
      <x:c r="B35" s="24" t="str">
        <x:v>Tenders</x:v>
      </x:c>
      <x:c r="C35" s="24" t="str">
        <x:v>Block unpublished continuation on Withdrawn release.</x:v>
      </x:c>
      <x:c r="D35" s="24" t="str">
        <x:v>Block submit/approve/publish/addendum/Bid start; preserve published history.</x:v>
      </x:c>
      <x:c r="E35" s="24" t="str">
        <x:v>Direct reason, release link and governed next step.</x:v>
      </x:c>
      <x:c r="F35" s="24" t="str">
        <x:v>TPR-CHG-001 v0.11 / STD-TPL-001 v0.10</x:v>
      </x:c>
      <x:c r="G35" s="24" t="str">
        <x:v>Project Owner review</x:v>
      </x:c>
      <x:c r="H35" s="24" t="str">
        <x:v>Yes</x:v>
      </x:c>
      <x:c r="I35" s="24" t="str">
        <x:v>Not started</x:v>
      </x:c>
      <x:c r="J35" s="24" t="str">
        <x:v>Not started</x:v>
      </x:c>
      <x:c r="K35" s="24" t="str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 ht="44" customHeight="1">
      <x:c r="A36" s="2" t="str">
        <x:v>RES-001</x:v>
      </x:c>
      <x:c r="B36" s="24" t="str">
        <x:v>Procurement Planning</x:v>
      </x:c>
      <x:c r="C36" s="24" t="str">
        <x:v>Compute reservation target from eligible current complete APP value.</x:v>
      </x:c>
      <x:c r="D36" s="24" t="str">
        <x:v>Version denominator and included/excluded item evidence.</x:v>
      </x:c>
      <x:c r="E36" s="24" t="str">
        <x:v>Show target, planned qualifying value and gap in plain language.</x:v>
      </x:c>
      <x:c r="F36" s="24" t="str">
        <x:v>PLN-CHG-001 v1.27 / LAW-REG-001 v1.2</x:v>
      </x:c>
      <x:c r="G36" s="24" t="str">
        <x:v>Approved requirement</x:v>
      </x:c>
      <x:c r="H36" s="24" t="str">
        <x:v>Yes</x:v>
      </x:c>
      <x:c r="I36" s="24" t="str">
        <x:v>Not started</x:v>
      </x:c>
      <x:c r="J36" s="24" t="str">
        <x:v>Not started</x:v>
      </x:c>
      <x:c r="K36" s="24" t="str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 ht="44" customHeight="1">
      <x:c r="A37" s="2" t="str">
        <x:v>RES-002</x:v>
      </x:c>
      <x:c r="B37" s="24" t="str">
        <x:v>Budget and Funding</x:v>
      </x:c>
      <x:c r="C37" s="24" t="str">
        <x:v>Remove any annual reservation-denominator control or API.</x:v>
      </x:c>
      <x:c r="D37" s="24" t="str">
        <x:v>Retain ceilings and affordability only.</x:v>
      </x:c>
      <x:c r="E37" s="24" t="str">
        <x:v>No user-entered 30% base in Budget.</x:v>
      </x:c>
      <x:c r="F37" s="24" t="str">
        <x:v>BUD-CHG-001 v1.11</x:v>
      </x:c>
      <x:c r="G37" s="24" t="str">
        <x:v>Approved requirement</x:v>
      </x:c>
      <x:c r="H37" s="24" t="str">
        <x:v>No</x:v>
      </x:c>
      <x:c r="I37" s="24" t="str">
        <x:v>Not started</x:v>
      </x:c>
      <x:c r="J37" s="24" t="str">
        <x:v>Not started</x:v>
      </x:c>
      <x:c r="K37" s="24" t="str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 ht="44" customHeight="1">
      <x:c r="A38" s="2" t="str">
        <x:v>RES-003</x:v>
      </x:c>
      <x:c r="B38" s="24" t="str">
        <x:v>Planning and Setup</x:v>
      </x:c>
      <x:c r="C38" s="24" t="str">
        <x:v>Separate national reservation designation from county-resident treatment.</x:v>
      </x:c>
      <x:c r="D38" s="24" t="str">
        <x:v>Independent rules, flags, outcomes and reports.</x:v>
      </x:c>
      <x:c r="E38" s="24" t="str">
        <x:v>Distinct labels and explanations.</x:v>
      </x:c>
      <x:c r="F38" s="24" t="str">
        <x:v>PLN-CHG-001 v1.27 / CFG-CHG-002 v0.16</x:v>
      </x:c>
      <x:c r="G38" s="24" t="str">
        <x:v>Mixed approved/proposed</x:v>
      </x:c>
      <x:c r="H38" s="24" t="str">
        <x:v>Yes</x:v>
      </x:c>
      <x:c r="I38" s="24" t="str">
        <x:v>Not started</x:v>
      </x:c>
      <x:c r="J38" s="24" t="str">
        <x:v>Not started</x:v>
      </x:c>
      <x:c r="K38" s="24" t="str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 ht="44" customHeight="1">
      <x:c r="A39" s="2" t="str">
        <x:v>RES-004</x:v>
      </x:c>
      <x:c r="B39" s="24" t="str">
        <x:v>Requisition to Bid</x:v>
      </x:c>
      <x:c r="C39" s="24" t="str">
        <x:v>Carry exact reservation treatment downstream without recomputation.</x:v>
      </x:c>
      <x:c r="D39" s="24" t="str">
        <x:v>Preserve designation, basis, lots and applicable evidence.</x:v>
      </x:c>
      <x:c r="E39" s="24" t="str">
        <x:v>Show concise confirmed treatment with correction route.</x:v>
      </x:c>
      <x:c r="F39" s="24" t="str">
        <x:v>REQ-CHG-001 v1.12 / TPR-CHG-001 v0.11 / BDS-CHG-001 v0.7</x:v>
      </x:c>
      <x:c r="G39" s="24" t="str">
        <x:v>Mixed approved/proposed</x:v>
      </x:c>
      <x:c r="H39" s="24" t="str">
        <x:v>Yes</x:v>
      </x:c>
      <x:c r="I39" s="24" t="str">
        <x:v>Not started</x:v>
      </x:c>
      <x:c r="J39" s="24" t="str">
        <x:v>Not started</x:v>
      </x:c>
      <x:c r="K39" s="24" t="str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 ht="44" customHeight="1">
      <x:c r="A40" s="2" t="str">
        <x:v>RES-005</x:v>
      </x:c>
      <x:c r="B40" s="24" t="str">
        <x:v>Fixtures</x:v>
      </x:c>
      <x:c r="C40" s="24" t="str">
        <x:v>Update fixtures and arithmetic to the corrected denominator.</x:v>
      </x:c>
      <x:c r="D40" s="24" t="str">
        <x:v>One mathematically consistent APP, requisition, tender and bid chain.</x:v>
      </x:c>
      <x:c r="E40" s="24" t="str">
        <x:v>No contradictory reservation states across artboards.</x:v>
      </x:c>
      <x:c r="F40" s="24" t="str">
        <x:v>SEED-001 v1.3 / RES-IMP-001 v1.0</x:v>
      </x:c>
      <x:c r="G40" s="24" t="str">
        <x:v>Needs reconciliation</x:v>
      </x:c>
      <x:c r="H40" s="24" t="str">
        <x:v>Yes</x:v>
      </x:c>
      <x:c r="I40" s="24" t="str">
        <x:v>Not started</x:v>
      </x:c>
      <x:c r="J40" s="24" t="str">
        <x:v>Pending</x:v>
      </x:c>
      <x:c r="K40" s="24" t="str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 ht="44" customHeight="1">
      <x:c r="A41" s="2" t="str">
        <x:v>RES-006</x:v>
      </x:c>
      <x:c r="B41" s="24" t="str">
        <x:v>Implementation Correction</x:v>
      </x:c>
      <x:c r="C41" s="24" t="str">
        <x:v>Remove obsolete reservation fields, services, labels and tests.</x:v>
      </x:c>
      <x:c r="D41" s="24" t="str">
        <x:v>Migrate or retire old inputs safely.</x:v>
      </x:c>
      <x:c r="E41" s="24" t="str">
        <x:v>Simplify affected screens and supporting detail.</x:v>
      </x:c>
      <x:c r="F41" s="24" t="str">
        <x:v>RES-IMP-001 v1.0</x:v>
      </x:c>
      <x:c r="G41" s="24" t="str">
        <x:v>Project Owner review</x:v>
      </x:c>
      <x:c r="H41" s="24" t="str">
        <x:v>Yes</x:v>
      </x:c>
      <x:c r="I41" s="24" t="str">
        <x:v>Not started</x:v>
      </x:c>
      <x:c r="J41" s="24" t="str">
        <x:v>Not started</x:v>
      </x:c>
      <x:c r="K41" s="24" t="str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 ht="44" customHeight="1">
      <x:c r="A42" s="2" t="str">
        <x:v>WF-001</x:v>
      </x:c>
      <x:c r="B42" s="24" t="str">
        <x:v>Shared workflow</x:v>
      </x:c>
      <x:c r="C42" s="24" t="str">
        <x:v>Implement the server-produced next-step response and explicit guard reasons.</x:v>
      </x:c>
      <x:c r="D42" s="24" t="str">
        <x:v>Return exactly one actionable, waiting, blocked-with-remedy or completed outcome for each supported persona and record state.</x:v>
      </x:c>
      <x:c r="E42" s="24" t="str">
        <x:v>Use one concise next-step block with owner, explanation and direct action where authorised.</x:v>
      </x:c>
      <x:c r="F42" s="24" t="str">
        <x:v>KT-STD-001 v1.8 / current module document</x:v>
      </x:c>
      <x:c r="G42" s="24" t="str">
        <x:v>Approved requirement</x:v>
      </x:c>
      <x:c r="H42" s="24" t="str">
        <x:v>Yes</x:v>
      </x:c>
      <x:c r="I42" s="24" t="str">
        <x:v>Not started</x:v>
      </x:c>
      <x:c r="J42" s="24" t="str">
        <x:v>Not started</x:v>
      </x:c>
      <x:c r="K42" s="24" t="str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 ht="44" customHeight="1">
      <x:c r="A43" s="2" t="str">
        <x:v>WF-002</x:v>
      </x:c>
      <x:c r="B43" s="24" t="str">
        <x:v>Integrated Verification</x:v>
      </x:c>
      <x:c r="C43" s="24" t="str">
        <x:v>Automate the no-dead-end conformance test.</x:v>
      </x:c>
      <x:c r="D43" s="24" t="str">
        <x:v>Enumerate supported persona/state pairs and fail any state lacking a valid next-step outcome.</x:v>
      </x:c>
      <x:c r="E43" s="24" t="str">
        <x:v>Verify that copy identifies the next actor and correction route without internal jargon.</x:v>
      </x:c>
      <x:c r="F43" s="24" t="str">
        <x:v>KT-STD-001 v1.8</x:v>
      </x:c>
      <x:c r="G43" s="24" t="str">
        <x:v>Approved requirement</x:v>
      </x:c>
      <x:c r="H43" s="24" t="str">
        <x:v>Yes</x:v>
      </x:c>
      <x:c r="I43" s="24" t="str">
        <x:v>Not started</x:v>
      </x:c>
      <x:c r="J43" s="24" t="str">
        <x:v>Not started</x:v>
      </x:c>
      <x:c r="K43" s="24" t="str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 ht="44" customHeight="1">
      <x:c r="A44" s="2" t="str">
        <x:v>WF-003</x:v>
      </x:c>
      <x:c r="B44" s="24" t="str">
        <x:v>My Work and hand-offs</x:v>
      </x:c>
      <x:c r="C44" s="24" t="str">
        <x:v>Create the complete hand-off register and consume it in My Work, waiting views and notifications.</x:v>
      </x:c>
      <x:c r="D44" s="24" t="str">
        <x:v>Cover every cross-role and cross-module hand-off with stable identity, ownership and lifecycle.</x:v>
      </x:c>
      <x:c r="E44" s="24" t="str">
        <x:v>Show work requiring action separately from items waiting on another responsibility.</x:v>
      </x:c>
      <x:c r="F44" s="24" t="str">
        <x:v>KT-STD-001 v1.8 / PLN-CHG-001 v1.27 / BUD-CHG-001 v1.11 / REQ-CHG-001 v1.12</x:v>
      </x:c>
      <x:c r="G44" s="24" t="str">
        <x:v>Approved requirement</x:v>
      </x:c>
      <x:c r="H44" s="24" t="str">
        <x:v>Yes</x:v>
      </x:c>
      <x:c r="I44" s="24" t="str">
        <x:v>Not started</x:v>
      </x:c>
      <x:c r="J44" s="24" t="str">
        <x:v>Not started</x:v>
      </x:c>
      <x:c r="K44" s="24" t="str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 ht="44" customHeight="1">
      <x:c r="A45" s="2" t="str">
        <x:v>WF-004</x:v>
      </x:c>
      <x:c r="B45" s="24" t="str">
        <x:v>Journey orientation</x:v>
      </x:c>
      <x:c r="C45" s="24" t="str">
        <x:v>Add the restrained journey tracker and useful Home orientation.</x:v>
      </x:c>
      <x:c r="D45" s="24" t="str">
        <x:v>Derive stage and next-step context from authoritative workflow and hand-off state.</x:v>
      </x:c>
      <x:c r="E45" s="24" t="str">
        <x:v>Orient users without duplicating status, exposing internal machinery or overwhelming the primary task.</x:v>
      </x:c>
      <x:c r="F45" s="24" t="str">
        <x:v>KT-STD-001 v1.8 / current module document</x:v>
      </x:c>
      <x:c r="G45" s="24" t="str">
        <x:v>Approved requirement</x:v>
      </x:c>
      <x:c r="H45" s="24" t="str">
        <x:v>No</x:v>
      </x:c>
      <x:c r="I45" s="24" t="str">
        <x:v>Not started</x:v>
      </x:c>
      <x:c r="J45" s="24" t="str">
        <x:v>Not started</x:v>
      </x:c>
      <x:c r="K45" s="24" t="str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 ht="44" customHeight="1">
      <x:c r="A46" s="2" t="str">
        <x:v>PLN-027-001</x:v>
      </x:c>
      <x:c r="B46" s="24" t="str">
        <x:v>Procurement Planning</x:v>
      </x:c>
      <x:c r="C46" s="24" t="str">
        <x:v>Implement the corrected blocker matrix and funding-confirmation route.</x:v>
      </x:c>
      <x:c r="D46" s="24" t="str">
        <x:v>Over-budget and missing-method conditions block Request plan funding confirmation; reservation shortfall blocks only Sign and submit Annual Plan.</x:v>
      </x:c>
      <x:c r="E46" s="24" t="str">
        <x:v>Name the affected action, reason, responsible role and direct correction route.</x:v>
      </x:c>
      <x:c r="F46" s="24" t="str">
        <x:v>PLN-CHG-001 v1.27</x:v>
      </x:c>
      <x:c r="G46" s="24" t="str">
        <x:v>Approved requirement</x:v>
      </x:c>
      <x:c r="H46" s="24" t="str">
        <x:v>Yes</x:v>
      </x:c>
      <x:c r="I46" s="24" t="str">
        <x:v>Not started</x:v>
      </x:c>
      <x:c r="J46" s="24" t="str">
        <x:v>Not started</x:v>
      </x:c>
      <x:c r="K46" s="24" t="str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 ht="44" customHeight="1">
      <x:c r="A47" s="2" t="str">
        <x:v>PLN-027-002</x:v>
      </x:c>
      <x:c r="B47" s="24" t="str">
        <x:v>Planning to Budget</x:v>
      </x:c>
      <x:c r="C47" s="24" t="str">
        <x:v>Implement the Planning budget revision request aggregate and hand-off.</x:v>
      </x:c>
      <x:c r="D47" s="24" t="str">
        <x:v>Create, send and track the immutable request without changing amounts, reservations or approvals.</x:v>
      </x:c>
      <x:c r="E47" s="24" t="str">
        <x:v>Show requested outcome, reason, Budget owner and returned outcome in plain language.</x:v>
      </x:c>
      <x:c r="F47" s="24" t="str">
        <x:v>PLN-CHG-001 v1.27 / BUD-CHG-001 v1.11</x:v>
      </x:c>
      <x:c r="G47" s="24" t="str">
        <x:v>Approved requirement</x:v>
      </x:c>
      <x:c r="H47" s="24" t="str">
        <x:v>Yes</x:v>
      </x:c>
      <x:c r="I47" s="24" t="str">
        <x:v>Not started</x:v>
      </x:c>
      <x:c r="J47" s="24" t="str">
        <x:v>Not started</x:v>
      </x:c>
      <x:c r="K47" s="24" t="str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 ht="44" customHeight="1">
      <x:c r="A48" s="2" t="str">
        <x:v>BUD-011-001</x:v>
      </x:c>
      <x:c r="B48" s="24" t="str">
        <x:v>Budget and Funding</x:v>
      </x:c>
      <x:c r="C48" s="24" t="str">
        <x:v>Implement the Budget-owned receiving side of Planning budget revision requests.</x:v>
      </x:c>
      <x:c r="D48" s="24" t="str">
        <x:v>Receive, decline, withdraw, register successor allocation evidence and return the outcome to Planning.</x:v>
      </x:c>
      <x:c r="E48" s="24" t="str">
        <x:v>Keep the request distinct from the budget revision itself and clearly identify the next responsible user.</x:v>
      </x:c>
      <x:c r="F48" s="24" t="str">
        <x:v>BUD-CHG-001 v1.11 / PLN-CHG-001 v1.27</x:v>
      </x:c>
      <x:c r="G48" s="24" t="str">
        <x:v>Approved requirement</x:v>
      </x:c>
      <x:c r="H48" s="24" t="str">
        <x:v>Yes</x:v>
      </x:c>
      <x:c r="I48" s="24" t="str">
        <x:v>Not started</x:v>
      </x:c>
      <x:c r="J48" s="24" t="str">
        <x:v>Not started</x:v>
      </x:c>
      <x:c r="K48" s="24" t="str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 ht="44" customHeight="1">
      <x:c r="A49" s="2" t="str">
        <x:v>REQ-012-001</x:v>
      </x:c>
      <x:c r="B49" s="24" t="str">
        <x:v>Procurement Requisitions</x:v>
      </x:c>
      <x:c r="C49" s="24" t="str">
        <x:v>Create the REQ-owned Purchase ready for requisition item when a plan is activated.</x:v>
      </x:c>
      <x:c r="D49" s="24" t="str">
        <x:v>Use the existing requisition aggregate and Ready to start lifecycle with no new role, state, command or approval stage.</x:v>
      </x:c>
      <x:c r="E49" s="24" t="str">
        <x:v>Show the item in the existing workspace and start the requisition directly.</x:v>
      </x:c>
      <x:c r="F49" s="24" t="str">
        <x:v>REQ-CHG-001 v1.12 / PLN-CHG-001 v1.27</x:v>
      </x:c>
      <x:c r="G49" s="24" t="str">
        <x:v>Approved requirement</x:v>
      </x:c>
      <x:c r="H49" s="24" t="str">
        <x:v>Yes</x:v>
      </x:c>
      <x:c r="I49" s="24" t="str">
        <x:v>Not started</x:v>
      </x:c>
      <x:c r="J49" s="24" t="str">
        <x:v>Not started</x:v>
      </x:c>
      <x:c r="K49" s="24" t="str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</x:sheetData>
  <x:mergeCells>
    <x:mergeCell ref="A1:K1"/>
    <x:mergeCell ref="A2:K2"/>
  </x:mergeCells>
  <x:conditionalFormatting sqref="G6:G49">
    <x:cfRule type="containsText" dxfId="74" priority="1" operator="containsText" text="Approved"/>
    <x:cfRule type="containsText" dxfId="75" priority="2" operator="containsText" text="Passed"/>
    <x:cfRule type="containsText" dxfId="76" priority="3" operator="containsText" text="Released"/>
    <x:cfRule type="containsText" dxfId="77" priority="4" operator="containsText" text="Project Owner review"/>
    <x:cfRule type="containsText" dxfId="78" priority="5" operator="containsText" text="Pending"/>
    <x:cfRule type="containsText" dxfId="79" priority="6" operator="containsText" text="Blocked"/>
    <x:cfRule type="containsText" dxfId="80" priority="7" operator="containsText" text="unresolved"/>
    <x:cfRule type="containsText" dxfId="81" priority="8" operator="containsText" text="Not started"/>
    <x:cfRule type="containsText" dxfId="82" priority="9" operator="containsText" text="Not evidenced"/>
  </x:conditionalFormatting>
  <x:conditionalFormatting sqref="I6:I49">
    <x:cfRule type="containsText" dxfId="83" priority="10" operator="containsText" text="Approved"/>
    <x:cfRule type="containsText" dxfId="84" priority="11" operator="containsText" text="Passed"/>
    <x:cfRule type="containsText" dxfId="85" priority="12" operator="containsText" text="Released"/>
    <x:cfRule type="containsText" dxfId="86" priority="13" operator="containsText" text="Project Owner review"/>
    <x:cfRule type="containsText" dxfId="87" priority="14" operator="containsText" text="Pending"/>
    <x:cfRule type="containsText" dxfId="88" priority="15" operator="containsText" text="Blocked"/>
    <x:cfRule type="containsText" dxfId="89" priority="16" operator="containsText" text="unresolved"/>
    <x:cfRule type="containsText" dxfId="90" priority="17" operator="containsText" text="Not started"/>
    <x:cfRule type="containsText" dxfId="91" priority="18" operator="containsText" text="Not evidenced"/>
  </x:conditionalFormatting>
  <x:conditionalFormatting sqref="J6:J49">
    <x:cfRule type="containsText" dxfId="92" priority="19" operator="containsText" text="Approved"/>
    <x:cfRule type="containsText" dxfId="93" priority="20" operator="containsText" text="Passed"/>
    <x:cfRule type="containsText" dxfId="94" priority="21" operator="containsText" text="Released"/>
    <x:cfRule type="containsText" dxfId="95" priority="22" operator="containsText" text="Project Owner review"/>
    <x:cfRule type="containsText" dxfId="96" priority="23" operator="containsText" text="Pending"/>
    <x:cfRule type="containsText" dxfId="97" priority="24" operator="containsText" text="Blocked"/>
    <x:cfRule type="containsText" dxfId="98" priority="25" operator="containsText" text="unresolved"/>
    <x:cfRule type="containsText" dxfId="99" priority="26" operator="containsText" text="Not started"/>
    <x:cfRule type="containsText" dxfId="100" priority="27" operator="containsText" text="Not evidenced"/>
  </x:conditionalFormatting>
  <x:dataValidations count="2">
    <x:dataValidation type="list" sqref="I6:I49">
      <x:formula1>"Not started,Planned,In progress,Implemented,Not evidenced,Not applicable"</x:formula1>
    </x:dataValidation>
    <x:dataValidation type="list" sqref="J6:J49">
      <x:formula1>"Not started,Not evidenced,Pending,Passed,Failed,Not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8d787fd50224fd9"/>
  </x:tableParts>
</x:worksheet>
</file>

<file path=xl/worksheets/sheet6.xml><?xml version="1.0" encoding="utf-8"?>
<x:worksheet xmlns:x="http://schemas.openxmlformats.org/spreadsheetml/2006/main">
  <x:sheetPr>
    <x:tabColor rgb="FF4472C4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3" hidden="0" customWidth="1"/>
    <x:col min="2" max="2" width="31" hidden="0" customWidth="1"/>
    <x:col min="3" max="3" width="18" hidden="0" customWidth="1"/>
    <x:col min="4" max="4" width="38" hidden="0" customWidth="1"/>
    <x:col min="5" max="5" width="14" hidden="0" customWidth="1"/>
    <x:col min="6" max="6" width="48" hidden="0" customWidth="1"/>
    <x:col min="7" max="7" width="44" hidden="0" customWidth="1"/>
  </x:cols>
  <x:sheetData>
    <x:row r="1" ht="38" customHeight="1">
      <x:c r="A1" s="5" t="str">
        <x:v>Future work</x:v>
      </x:c>
      <x:c r="B1" s="5"/>
      <x:c r="C1" s="5"/>
      <x:c r="D1" s="5"/>
      <x:c r="E1" s="5"/>
      <x:c r="F1" s="5"/>
      <x:c r="G1" s="5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4" customHeight="1">
      <x:c r="A2" s="8" t="str">
        <x:v>Deferred capability remains visible here with an explicit boundary and trigger. This prevents future scope from being mistaken for a current feature or forgotten entirely.</x:v>
      </x:c>
      <x:c r="B2" s="8"/>
      <x:c r="C2" s="8"/>
      <x:c r="D2" s="8"/>
      <x:c r="E2" s="8"/>
      <x:c r="F2" s="8"/>
      <x:c r="G2" s="8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6" customHeight="1">
      <x:c r="A5" s="35" t="str">
        <x:v>Future ID</x:v>
      </x:c>
      <x:c r="B5" s="35" t="str">
        <x:v>Capability</x:v>
      </x:c>
      <x:c r="C5" s="35" t="str">
        <x:v>Planned wave</x:v>
      </x:c>
      <x:c r="D5" s="35" t="str">
        <x:v>Dependency</x:v>
      </x:c>
      <x:c r="E5" s="35" t="str">
        <x:v>Status</x:v>
      </x:c>
      <x:c r="F5" s="35" t="str">
        <x:v>Current boundary</x:v>
      </x:c>
      <x:c r="G5" s="35" t="str">
        <x:v>Trigger to start</x:v>
      </x:c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2" t="str">
        <x:v>FW-001</x:v>
      </x:c>
      <x:c r="B6" s="24" t="str">
        <x:v>Bid Opening</x:v>
      </x:c>
      <x:c r="C6" s="24" t="str">
        <x:v>Post Gate 1</x:v>
      </x:c>
      <x:c r="D6" s="24" t="str">
        <x:v>Sealed Bid Submission handoff</x:v>
      </x:c>
      <x:c r="E6" s="24" t="str">
        <x:v>Planned</x:v>
      </x:c>
      <x:c r="F6" s="24" t="str">
        <x:v>Not part of BDS v0.7</x:v>
      </x:c>
      <x:c r="G6" s="24" t="str">
        <x:v>Approve a separate Bid Opening requirements change unit.</x:v>
      </x:c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44" customHeight="1">
      <x:c r="A7" s="2" t="str">
        <x:v>FW-002</x:v>
      </x:c>
      <x:c r="B7" s="24" t="str">
        <x:v>Evaluation and Award</x:v>
      </x:c>
      <x:c r="C7" s="24" t="str">
        <x:v>Post Gate 1</x:v>
      </x:c>
      <x:c r="D7" s="24" t="str">
        <x:v>Bid Opening; STD evaluation mappings</x:v>
      </x:c>
      <x:c r="E7" s="24" t="str">
        <x:v>Planned</x:v>
      </x:c>
      <x:c r="F7" s="24" t="str">
        <x:v>No evaluation workflow in current Gate 1</x:v>
      </x:c>
      <x:c r="G7" s="24" t="str">
        <x:v>Complete Bid Opening and approve evaluation governance.</x:v>
      </x:c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44" customHeight="1">
      <x:c r="A8" s="2" t="str">
        <x:v>FW-003</x:v>
      </x:c>
      <x:c r="B8" s="24" t="str">
        <x:v>Supplier Management and prequalification</x:v>
      </x:c>
      <x:c r="C8" s="24" t="str">
        <x:v>Future programme</x:v>
      </x:c>
      <x:c r="D8" s="24" t="str">
        <x:v>Supplier organisation identity</x:v>
      </x:c>
      <x:c r="E8" s="24" t="str">
        <x:v>Planned</x:v>
      </x:c>
      <x:c r="F8" s="24" t="str">
        <x:v>Current supplier access is tender participation only</x:v>
      </x:c>
      <x:c r="G8" s="24" t="str">
        <x:v>Approve supplier lifecycle and data ownership.</x:v>
      </x:c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44" customHeight="1">
      <x:c r="A9" s="2" t="str">
        <x:v>FW-004</x:v>
      </x:c>
      <x:c r="B9" s="24" t="str">
        <x:v>RFQ, Restricted and Direct methods</x:v>
      </x:c>
      <x:c r="C9" s="24" t="str">
        <x:v>Future programme</x:v>
      </x:c>
      <x:c r="D9" s="24" t="str">
        <x:v>Additional method rules and templates</x:v>
      </x:c>
      <x:c r="E9" s="24" t="str">
        <x:v>Planned</x:v>
      </x:c>
      <x:c r="F9" s="24" t="str">
        <x:v>Current controlled template is Open Tender</x:v>
      </x:c>
      <x:c r="G9" s="24" t="str">
        <x:v>Curate and approve each method/product release.</x:v>
      </x:c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44" customHeight="1">
      <x:c r="A10" s="2" t="str">
        <x:v>FW-005</x:v>
      </x:c>
      <x:c r="B10" s="24" t="str">
        <x:v>RFP and proposal-based procurement</x:v>
      </x:c>
      <x:c r="C10" s="24" t="str">
        <x:v>Future programme</x:v>
      </x:c>
      <x:c r="D10" s="24" t="str">
        <x:v>Proposal evaluation and negotiation rules</x:v>
      </x:c>
      <x:c r="E10" s="24" t="str">
        <x:v>Planned</x:v>
      </x:c>
      <x:c r="F10" s="24" t="str">
        <x:v>Not covered by IT Equipment Open Tender</x:v>
      </x:c>
      <x:c r="G10" s="24" t="str">
        <x:v>Approve RFP product and evaluation model.</x:v>
      </x:c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44" customHeight="1">
      <x:c r="A11" s="2" t="str">
        <x:v>FW-006</x:v>
      </x:c>
      <x:c r="B11" s="24" t="str">
        <x:v>Works tender products</x:v>
      </x:c>
      <x:c r="C11" s="24" t="str">
        <x:v>Future programme</x:v>
      </x:c>
      <x:c r="D11" s="24" t="str">
        <x:v>Works-specific STD release metadata</x:v>
      </x:c>
      <x:c r="E11" s="24" t="str">
        <x:v>Planned</x:v>
      </x:c>
      <x:c r="F11" s="24" t="str">
        <x:v>BDS runtime is extensible but no Works release is approved</x:v>
      </x:c>
      <x:c r="G11" s="24" t="str">
        <x:v>Curate official Works STD and test distinct forms/pricing.</x:v>
      </x:c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44" customHeight="1">
      <x:c r="A12" s="2" t="str">
        <x:v>FW-007</x:v>
      </x:c>
      <x:c r="B12" s="24" t="str">
        <x:v>Other Services products</x:v>
      </x:c>
      <x:c r="C12" s="24" t="str">
        <x:v>Future programme</x:v>
      </x:c>
      <x:c r="D12" s="24" t="str">
        <x:v>Services-specific STD release metadata</x:v>
      </x:c>
      <x:c r="E12" s="24" t="str">
        <x:v>Planned</x:v>
      </x:c>
      <x:c r="F12" s="24" t="str">
        <x:v>No approved service product release</x:v>
      </x:c>
      <x:c r="G12" s="24" t="str">
        <x:v>Curate official service STD and response model.</x:v>
      </x:c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44" customHeight="1">
      <x:c r="A13" s="2" t="str">
        <x:v>FW-008</x:v>
      </x:c>
      <x:c r="B13" s="24" t="str">
        <x:v>Contract Management</x:v>
      </x:c>
      <x:c r="C13" s="24" t="str">
        <x:v>Future programme</x:v>
      </x:c>
      <x:c r="D13" s="24" t="str">
        <x:v>Award and contract formation</x:v>
      </x:c>
      <x:c r="E13" s="24" t="str">
        <x:v>Planned</x:v>
      </x:c>
      <x:c r="F13" s="24" t="str">
        <x:v>Current contract mappings prepare data only</x:v>
      </x:c>
      <x:c r="G13" s="24" t="str">
        <x:v>Approve contract lifecycle and integration contracts.</x:v>
      </x:c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44" customHeight="1">
      <x:c r="A14" s="2" t="str">
        <x:v>FW-009</x:v>
      </x:c>
      <x:c r="B14" s="24" t="str">
        <x:v>IFMIS, inventory, stores and asset integrations</x:v>
      </x:c>
      <x:c r="C14" s="24" t="str">
        <x:v>Future programme</x:v>
      </x:c>
      <x:c r="D14" s="24" t="str">
        <x:v>External interface agreements</x:v>
      </x:c>
      <x:c r="E14" s="24" t="str">
        <x:v>Planned</x:v>
      </x:c>
      <x:c r="F14" s="24" t="str">
        <x:v>No integration mechanism is presumed in MVP</x:v>
      </x:c>
      <x:c r="G14" s="24" t="str">
        <x:v>Agree systems, ownership, security and reconciliation.</x:v>
      </x:c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44" customHeight="1">
      <x:c r="A15" s="2" t="str">
        <x:v>FW-010</x:v>
      </x:c>
      <x:c r="B15" s="24" t="str">
        <x:v>Automated publication adapters</x:v>
      </x:c>
      <x:c r="C15" s="24" t="str">
        <x:v>Future enhancement</x:v>
      </x:c>
      <x:c r="D15" s="24" t="str">
        <x:v>Portal/channel integration agreements</x:v>
      </x:c>
      <x:c r="E15" s="24" t="str">
        <x:v>Planned</x:v>
      </x:c>
      <x:c r="F15" s="24" t="str">
        <x:v>MVP supports manual HOPF confirmation</x:v>
      </x:c>
      <x:c r="G15" s="24" t="str">
        <x:v>Approve per-channel adapter and acknowledgement contract.</x:v>
      </x:c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</x:sheetData>
  <x:mergeCells>
    <x:mergeCell ref="A1:G1"/>
    <x:mergeCell ref="A2:G2"/>
  </x:mergeCells>
  <x:conditionalFormatting sqref="E6:E15">
    <x:cfRule type="containsText" dxfId="101" priority="1" operator="containsText" text="Approved"/>
    <x:cfRule type="containsText" dxfId="102" priority="2" operator="containsText" text="Passed"/>
    <x:cfRule type="containsText" dxfId="103" priority="3" operator="containsText" text="Released"/>
    <x:cfRule type="containsText" dxfId="104" priority="4" operator="containsText" text="Project Owner review"/>
    <x:cfRule type="containsText" dxfId="105" priority="5" operator="containsText" text="Pending"/>
    <x:cfRule type="containsText" dxfId="106" priority="6" operator="containsText" text="Blocked"/>
    <x:cfRule type="containsText" dxfId="107" priority="7" operator="containsText" text="unresolved"/>
    <x:cfRule type="containsText" dxfId="108" priority="8" operator="containsText" text="Not started"/>
    <x:cfRule type="containsText" dxfId="109" priority="9" operator="containsText" text="Not evidenced"/>
  </x:conditionalFormatting>
  <x:pageMargins left="0.7" right="0.7" top="0.75" bottom="0.75" header="0.3" footer="0.3"/>
  <x:tableParts count="1">
    <x:tablePart xmlns:r="http://schemas.openxmlformats.org/officeDocument/2006/relationships" r:id="Rf9a2fcbb8c434f84"/>
  </x:tableParts>
</x:worksheet>
</file>

<file path=xl/worksheets/sheet7.xml><?xml version="1.0" encoding="utf-8"?>
<x:worksheet xmlns:x="http://schemas.openxmlformats.org/spreadsheetml/2006/main">
  <x:sheetPr>
    <x:tabColor rgb="FF4472C4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4" hidden="0" customWidth="1"/>
    <x:col min="2" max="2" width="12" hidden="0" customWidth="1"/>
    <x:col min="3" max="3" width="20" hidden="0" customWidth="1"/>
    <x:col min="4" max="4" width="53" hidden="0" customWidth="1"/>
    <x:col min="5" max="5" width="14" hidden="0" customWidth="1"/>
    <x:col min="6" max="6" width="24" hidden="0" customWidth="1"/>
    <x:col min="7" max="7" width="50" hidden="0" customWidth="1"/>
    <x:col min="8" max="8" width="38" hidden="0" customWidth="1"/>
    <x:col min="9" max="9" width="42" hidden="0" customWidth="1"/>
  </x:cols>
  <x:sheetData>
    <x:row r="1" ht="38" customHeight="1">
      <x:c r="A1" s="5" t="str">
        <x:v>Control findings</x:v>
      </x:c>
      <x:c r="B1" s="5"/>
      <x:c r="C1" s="5"/>
      <x:c r="D1" s="5"/>
      <x:c r="E1" s="5"/>
      <x:c r="F1" s="5"/>
      <x:c r="G1" s="5"/>
      <x:c r="H1" s="5"/>
      <x:c r="I1" s="5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4" customHeight="1">
      <x:c r="A2" s="8" t="str">
        <x:v>Terminal review register. Findings inform action and release decisions but do not feed business calculations elsewhere in the workbook.</x:v>
      </x:c>
      <x:c r="B2" s="8"/>
      <x:c r="C2" s="8"/>
      <x:c r="D2" s="8"/>
      <x:c r="E2" s="8"/>
      <x:c r="F2" s="8"/>
      <x:c r="G2" s="8"/>
      <x:c r="H2" s="8"/>
      <x:c r="I2" s="8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6" customHeight="1">
      <x:c r="A5" s="35" t="str">
        <x:v>Finding ID</x:v>
      </x:c>
      <x:c r="B5" s="35" t="str">
        <x:v>Severity</x:v>
      </x:c>
      <x:c r="C5" s="35" t="str">
        <x:v>Type</x:v>
      </x:c>
      <x:c r="D5" s="35" t="str">
        <x:v>Finding</x:v>
      </x:c>
      <x:c r="E5" s="35" t="str">
        <x:v>Status</x:v>
      </x:c>
      <x:c r="F5" s="35" t="str">
        <x:v>Owner</x:v>
      </x:c>
      <x:c r="G5" s="35" t="str">
        <x:v>Required action</x:v>
      </x:c>
      <x:c r="H5" s="35" t="str">
        <x:v>Blocks</x:v>
      </x:c>
      <x:c r="I5" s="35" t="str">
        <x:v>Evidence</x:v>
      </x:c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2" t="str">
        <x:v>AUD-001</x:v>
      </x:c>
      <x:c r="B6" s="2" t="str">
        <x:v>High</x:v>
      </x:c>
      <x:c r="C6" s="24" t="str">
        <x:v>Approval</x:v>
      </x:c>
      <x:c r="D6" s="24" t="str">
        <x:v>CFG-CHG-002 v0.16 is the current successor but remains proposed.</x:v>
      </x:c>
      <x:c r="E6" s="24" t="str">
        <x:v>Open</x:v>
      </x:c>
      <x:c r="F6" s="24" t="str">
        <x:v>Project Owner</x:v>
      </x:c>
      <x:c r="G6" s="24" t="str">
        <x:v>Approve or return with changes.</x:v>
      </x:c>
      <x:c r="H6" s="24" t="str">
        <x:v>Gate 1 configuration implementation</x:v>
      </x:c>
      <x:c r="I6" s="24" t="str">
        <x:v>CFG-CHG-002 v0.16 control block</x:v>
      </x:c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44" customHeight="1">
      <x:c r="A7" s="2" t="str">
        <x:v>AUD-002</x:v>
      </x:c>
      <x:c r="B7" s="2" t="str">
        <x:v>High</x:v>
      </x:c>
      <x:c r="C7" s="24" t="str">
        <x:v>Approval</x:v>
      </x:c>
      <x:c r="D7" s="24" t="str">
        <x:v>TPR-CHG-001 v0.11 remains proposed.</x:v>
      </x:c>
      <x:c r="E7" s="24" t="str">
        <x:v>Open</x:v>
      </x:c>
      <x:c r="F7" s="24" t="str">
        <x:v>Project Owner</x:v>
      </x:c>
      <x:c r="G7" s="24" t="str">
        <x:v>Complete final cross-document review and approve.</x:v>
      </x:c>
      <x:c r="H7" s="24" t="str">
        <x:v>Authoritative Tender implementation baseline</x:v>
      </x:c>
      <x:c r="I7" s="24" t="str">
        <x:v>TPR-CHG-001 v0.11 control block</x:v>
      </x:c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44" customHeight="1">
      <x:c r="A8" s="2" t="str">
        <x:v>AUD-003</x:v>
      </x:c>
      <x:c r="B8" s="2" t="str">
        <x:v>High</x:v>
      </x:c>
      <x:c r="C8" s="24" t="str">
        <x:v>Approval</x:v>
      </x:c>
      <x:c r="D8" s="24" t="str">
        <x:v>BDS-CHG-001 v0.7 remains proposed.</x:v>
      </x:c>
      <x:c r="E8" s="24" t="str">
        <x:v>Open</x:v>
      </x:c>
      <x:c r="F8" s="24" t="str">
        <x:v>Project Owner</x:v>
      </x:c>
      <x:c r="G8" s="24" t="str">
        <x:v>Approve after Gate 1 reconciliation.</x:v>
      </x:c>
      <x:c r="H8" s="24" t="str">
        <x:v>Authoritative Bid Submission implementation baseline</x:v>
      </x:c>
      <x:c r="I8" s="24" t="str">
        <x:v>BDS-CHG-001 v0.7 control block</x:v>
      </x:c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44" customHeight="1">
      <x:c r="A9" s="2" t="str">
        <x:v>AUD-004</x:v>
      </x:c>
      <x:c r="B9" s="2" t="str">
        <x:v>High</x:v>
      </x:c>
      <x:c r="C9" s="24" t="str">
        <x:v>Approval</x:v>
      </x:c>
      <x:c r="D9" s="24" t="str">
        <x:v>STD-TPL-001 v0.10 remains proposed.</x:v>
      </x:c>
      <x:c r="E9" s="24" t="str">
        <x:v>Open</x:v>
      </x:c>
      <x:c r="F9" s="24" t="str">
        <x:v>Project Owner</x:v>
      </x:c>
      <x:c r="G9" s="24" t="str">
        <x:v>Approve curation and release standard.</x:v>
      </x:c>
      <x:c r="H9" s="24" t="str">
        <x:v>Rebuilt response-capable tender bundle</x:v>
      </x:c>
      <x:c r="I9" s="24" t="str">
        <x:v>STD-TPL-001 v0.10 control block</x:v>
      </x:c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44" customHeight="1">
      <x:c r="A10" s="2" t="str">
        <x:v>AUD-005</x:v>
      </x:c>
      <x:c r="B10" s="2" t="str">
        <x:v>High</x:v>
      </x:c>
      <x:c r="C10" s="24" t="str">
        <x:v>Approval</x:v>
      </x:c>
      <x:c r="D10" s="24" t="str">
        <x:v>G1-REG-001 v1.1 implementation handoff remains proposed.</x:v>
      </x:c>
      <x:c r="E10" s="24" t="str">
        <x:v>Open</x:v>
      </x:c>
      <x:c r="F10" s="24" t="str">
        <x:v>Project Owner</x:v>
      </x:c>
      <x:c r="G10" s="24" t="str">
        <x:v>Approve as the current Gate 1 delivery control.</x:v>
      </x:c>
      <x:c r="H10" s="24" t="str">
        <x:v>Single authoritative change matrix</x:v>
      </x:c>
      <x:c r="I10" s="24" t="str">
        <x:v>G1-REG-001 v1.1 control block</x:v>
      </x:c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44" customHeight="1">
      <x:c r="A11" s="2" t="str">
        <x:v>AUD-006</x:v>
      </x:c>
      <x:c r="B11" s="2" t="str">
        <x:v>Critical</x:v>
      </x:c>
      <x:c r="C11" s="24" t="str">
        <x:v>Release gate</x:v>
      </x:c>
      <x:c r="D11" s="24" t="str">
        <x:v>The existing IT Equipment bundle is not an approved exact release manifest under STD-TPL-001 v0.10.</x:v>
      </x:c>
      <x:c r="E11" s="24" t="str">
        <x:v>Open</x:v>
      </x:c>
      <x:c r="F11" s="24" t="str">
        <x:v>Controlled release owner</x:v>
      </x:c>
      <x:c r="G11" s="24" t="str">
        <x:v>Rebuild, verify and approve the exact manifest.</x:v>
      </x:c>
      <x:c r="H11" s="24" t="str">
        <x:v>Tender publication and production Bid Submission</x:v>
      </x:c>
      <x:c r="I11" s="24" t="str">
        <x:v>STD-TPL-001 v0.10; candidate ZIP</x:v>
      </x:c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44" customHeight="1">
      <x:c r="A12" s="2" t="str">
        <x:v>AUD-007</x:v>
      </x:c>
      <x:c r="B12" s="2" t="str">
        <x:v>Critical</x:v>
      </x:c>
      <x:c r="C12" s="24" t="str">
        <x:v>Operating gate</x:v>
      </x:c>
      <x:c r="D12" s="24" t="str">
        <x:v>Production electronic submission operating profile is not yet approved.</x:v>
      </x:c>
      <x:c r="E12" s="24" t="str">
        <x:v>Open</x:v>
      </x:c>
      <x:c r="F12" s="24" t="str">
        <x:v>Project Owner / Operations</x:v>
      </x:c>
      <x:c r="G12" s="24" t="str">
        <x:v>Approve support, monitoring, recovery, authority and incident arrangements; then enable the deployment flag.</x:v>
      </x:c>
      <x:c r="H12" s="24" t="str">
        <x:v>Production submission</x:v>
      </x:c>
      <x:c r="I12" s="24" t="str">
        <x:v>BDS-CHG-001 v0.7; G1-REG-001 v1.1</x:v>
      </x:c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44" customHeight="1">
      <x:c r="A13" s="2" t="str">
        <x:v>AUD-008</x:v>
      </x:c>
      <x:c r="B13" s="2" t="str">
        <x:v>High</x:v>
      </x:c>
      <x:c r="C13" s="24" t="str">
        <x:v>Reconciliation</x:v>
      </x:c>
      <x:c r="D13" s="24" t="str">
        <x:v>SEED-001 v1.3 predates the final reservation, Gate 1 public/vendor and approved workflow-guidance changes in PLN v1.27, BUD v1.11, REQ v1.12 and KT-STD v1.8.</x:v>
      </x:c>
      <x:c r="E13" s="24" t="str">
        <x:v>Open</x:v>
      </x:c>
      <x:c r="F13" s="24" t="str">
        <x:v>Requirements owner</x:v>
      </x:c>
      <x:c r="G13" s="24" t="str">
        <x:v>Issue a reconciled fixture version before integrated verification.</x:v>
      </x:c>
      <x:c r="H13" s="24" t="str">
        <x:v>Reliable end-to-end seed tests</x:v>
      </x:c>
      <x:c r="I13" s="24" t="str">
        <x:v>SEED-001 v1.3 compared with current baseline</x:v>
      </x:c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44" customHeight="1">
      <x:c r="A14" s="2" t="str">
        <x:v>AUD-009</x:v>
      </x:c>
      <x:c r="B14" s="2" t="str">
        <x:v>Medium</x:v>
      </x:c>
      <x:c r="C14" s="24" t="str">
        <x:v>Stale reference</x:v>
      </x:c>
      <x:c r="D14" s="24" t="str">
        <x:v>RES-IMP-001 v1.0 predates the current PLN v1.27, BUD v1.11, REQ v1.12, TPR v0.11, STD-TPL v0.10 and BDS v0.7 baseline.</x:v>
      </x:c>
      <x:c r="E14" s="24" t="str">
        <x:v>Open</x:v>
      </x:c>
      <x:c r="F14" s="24" t="str">
        <x:v>Requirements owner</x:v>
      </x:c>
      <x:c r="G14" s="24" t="str">
        <x:v>Refresh document references without changing the approved legal decision.</x:v>
      </x:c>
      <x:c r="H14" s="24" t="str">
        <x:v>Clean reservation implementation handoff</x:v>
      </x:c>
      <x:c r="I14" s="24" t="str">
        <x:v>RES-IMP-001 v1.0 references</x:v>
      </x:c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44" customHeight="1">
      <x:c r="A15" s="2" t="str">
        <x:v>AUD-010</x:v>
      </x:c>
      <x:c r="B15" s="2" t="str">
        <x:v>High</x:v>
      </x:c>
      <x:c r="C15" s="24" t="str">
        <x:v>Missing controlled file</x:v>
      </x:c>
      <x:c r="D15" s="24" t="str">
        <x:v>STD-STD-001 v1.1 is referenced but the exact controlled file was not resolved in the admitted set.</x:v>
      </x:c>
      <x:c r="E15" s="24" t="str">
        <x:v>Open</x:v>
      </x:c>
      <x:c r="F15" s="24" t="str">
        <x:v>Documentation owner</x:v>
      </x:c>
      <x:c r="G15" s="24" t="str">
        <x:v>Locate or admit the exact version and record its authority.</x:v>
      </x:c>
      <x:c r="H15" s="24" t="str">
        <x:v>Complete template/tender/bid traceability</x:v>
      </x:c>
      <x:c r="I15" s="24" t="str">
        <x:v>References in current controlled documents</x:v>
      </x:c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44" customHeight="1">
      <x:c r="A16" s="2" t="str">
        <x:v>AUD-011</x:v>
      </x:c>
      <x:c r="B16" s="2" t="str">
        <x:v>High</x:v>
      </x:c>
      <x:c r="C16" s="24" t="str">
        <x:v>Missing controlled file</x:v>
      </x:c>
      <x:c r="D16" s="24" t="str">
        <x:v>STD-ST-001 v0.5 is referenced but the exact controlled file was not resolved in the admitted set.</x:v>
      </x:c>
      <x:c r="E16" s="24" t="str">
        <x:v>Open</x:v>
      </x:c>
      <x:c r="F16" s="24" t="str">
        <x:v>Documentation owner</x:v>
      </x:c>
      <x:c r="G16" s="24" t="str">
        <x:v>Locate or admit the exact version before integrated stress testing.</x:v>
      </x:c>
      <x:c r="H16" s="24" t="str">
        <x:v>Gate 1 integrated verification</x:v>
      </x:c>
      <x:c r="I16" s="24" t="str">
        <x:v>References in current controlled documents</x:v>
      </x:c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44" customHeight="1">
      <x:c r="A17" s="2" t="str">
        <x:v>AUD-012</x:v>
      </x:c>
      <x:c r="B17" s="2" t="str">
        <x:v>Info</x:v>
      </x:c>
      <x:c r="C17" s="24" t="str">
        <x:v>Scope boundary</x:v>
      </x:c>
      <x:c r="D17" s="24" t="str">
        <x:v>Roadmap capabilities beyond sealed Bid Submission are deliberately retained as future work.</x:v>
      </x:c>
      <x:c r="E17" s="24" t="str">
        <x:v>Controlled</x:v>
      </x:c>
      <x:c r="F17" s="24" t="str">
        <x:v>Programme owner</x:v>
      </x:c>
      <x:c r="G17" s="24" t="str">
        <x:v>Create separate change units when each future capability is authorised.</x:v>
      </x:c>
      <x:c r="H17" s="24" t="str">
        <x:v>Nothing in Gate 1</x:v>
      </x:c>
      <x:c r="I17" s="24" t="str">
        <x:v>KT-RCA-001 v1.1; G1-REG-001 v1.1</x:v>
      </x:c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44" customHeight="1">
      <x:c r="A18" s="2" t="str">
        <x:v>AUD-013</x:v>
      </x:c>
      <x:c r="B18" s="2" t="str">
        <x:v>High</x:v>
      </x:c>
      <x:c r="C18" s="24" t="str">
        <x:v>Cross-module adoption</x:v>
      </x:c>
      <x:c r="D18" s="24" t="str">
        <x:v>KT-STD-001 v1.8 is approved, but complete implementation evidence for its next-step, guard-reason, hand-off, My Work, Home and no-dead-end contracts does not yet exist across the active modules.</x:v>
      </x:c>
      <x:c r="E18" s="24" t="str">
        <x:v>Open</x:v>
      </x:c>
      <x:c r="F18" s="24" t="str">
        <x:v>Requirements and implementation owners</x:v>
      </x:c>
      <x:c r="G18" s="24" t="str">
        <x:v>Adopt the shared contract in each active module and run persona/state conformance tests.</x:v>
      </x:c>
      <x:c r="H18" s="24" t="str">
        <x:v>Usability-complete Gate 1 verification</x:v>
      </x:c>
      <x:c r="I18" s="24" t="str">
        <x:v>KT-STD-001 v1.8; PLN-CHG-001 v1.27; Workflow Guidance Standard</x:v>
      </x:c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44" customHeight="1">
      <x:c r="A19" s="2" t="str">
        <x:v>AUD-014</x:v>
      </x:c>
      <x:c r="B19" s="2" t="str">
        <x:v>High</x:v>
      </x:c>
      <x:c r="C19" s="24" t="str">
        <x:v>Implementation handoff</x:v>
      </x:c>
      <x:c r="D19" s="24" t="str">
        <x:v>G1-REG-001 v1.1 now reconciles PLN v1.27, BUD v1.11, REQ v1.12 and the STD runtime closure, but SEED-001 v1.3 still predates them.</x:v>
      </x:c>
      <x:c r="E19" s="24" t="str">
        <x:v>Open</x:v>
      </x:c>
      <x:c r="F19" s="24" t="str">
        <x:v>Requirements owner</x:v>
      </x:c>
      <x:c r="G19" s="24" t="str">
        <x:v>Issue a controlled SEED successor before integrated implementation verification.</x:v>
      </x:c>
      <x:c r="H19" s="24" t="str">
        <x:v>One reproducible end-to-end test baseline</x:v>
      </x:c>
      <x:c r="I19" s="24" t="str">
        <x:v>G1-REG-001 v1.1; SEED-001 v1.3 compared with current baseline</x:v>
      </x:c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44" customHeight="1">
      <x:c r="A20" s="2" t="str">
        <x:v>AUD-015</x:v>
      </x:c>
      <x:c r="B20" s="2" t="str">
        <x:v>High</x:v>
      </x:c>
      <x:c r="C20" s="24" t="str">
        <x:v>Approval</x:v>
      </x:c>
      <x:c r="D20" s="24" t="str">
        <x:v>STD-TPL-IMP-001 v1.0 is the proposed implementation authority and is not yet approved.</x:v>
      </x:c>
      <x:c r="E20" s="24" t="str">
        <x:v>Open</x:v>
      </x:c>
      <x:c r="F20" s="24" t="str">
        <x:v>Project Owner</x:v>
      </x:c>
      <x:c r="G20" s="24" t="str">
        <x:v>Review and approve with STD-TPL-001 v0.10 before Claude Code implements the template runtime.</x:v>
      </x:c>
      <x:c r="H20" s="24" t="str">
        <x:v>Authoritative STD runtime implementation</x:v>
      </x:c>
      <x:c r="I20" s="24" t="str">
        <x:v>STD-TPL-IMP-001 v1.0 control block</x:v>
      </x:c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44" customHeight="1">
      <x:c r="A21" s="2" t="str">
        <x:v>AUD-016</x:v>
      </x:c>
      <x:c r="B21" s="2" t="str">
        <x:v>Medium</x:v>
      </x:c>
      <x:c r="C21" s="24" t="str">
        <x:v>Approval</x:v>
      </x:c>
      <x:c r="D21" s="24" t="str">
        <x:v>AUTH-ADR-001 v1.10 is proposed; approved v1.9 remains effective and does not yet grant Procurement Officer/HOPF STD inspection.</x:v>
      </x:c>
      <x:c r="E21" s="24" t="str">
        <x:v>Open</x:v>
      </x:c>
      <x:c r="F21" s="24" t="str">
        <x:v>Project Owner</x:v>
      </x:c>
      <x:c r="G21" s="24" t="str">
        <x:v>Approve or return the narrow inspection amendment.</x:v>
      </x:c>
      <x:c r="H21" s="24" t="str">
        <x:v>Bounded procurement-user release visibility</x:v>
      </x:c>
      <x:c r="I21" s="24" t="str">
        <x:v>AUTH-ADR-001 v1.10 control block</x:v>
      </x:c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</x:sheetData>
  <x:mergeCells>
    <x:mergeCell ref="A1:I1"/>
    <x:mergeCell ref="A2:I2"/>
  </x:mergeCells>
  <x:conditionalFormatting sqref="E6:E21">
    <x:cfRule type="containsText" dxfId="110" priority="1" operator="containsText" text="Approved"/>
    <x:cfRule type="containsText" dxfId="111" priority="2" operator="containsText" text="Passed"/>
    <x:cfRule type="containsText" dxfId="112" priority="3" operator="containsText" text="Released"/>
    <x:cfRule type="containsText" dxfId="113" priority="4" operator="containsText" text="Project Owner review"/>
    <x:cfRule type="containsText" dxfId="114" priority="5" operator="containsText" text="Pending"/>
    <x:cfRule type="containsText" dxfId="115" priority="6" operator="containsText" text="Blocked"/>
    <x:cfRule type="containsText" dxfId="116" priority="7" operator="containsText" text="unresolved"/>
    <x:cfRule type="containsText" dxfId="117" priority="8" operator="containsText" text="Not started"/>
    <x:cfRule type="containsText" dxfId="118" priority="9" operator="containsText" text="Not evidenced"/>
  </x:conditionalFormatting>
  <x:conditionalFormatting sqref="B6:B21">
    <x:cfRule type="containsText" dxfId="119" priority="10" operator="containsText" text="Critical"/>
    <x:cfRule type="containsText" dxfId="120" priority="11" operator="containsText" text="High"/>
  </x:conditionalFormatting>
  <x:pageMargins left="0.7" right="0.7" top="0.75" bottom="0.75" header="0.3" footer="0.3"/>
  <x:tableParts count="1">
    <x:tablePart xmlns:r="http://schemas.openxmlformats.org/officeDocument/2006/relationships" r:id="R90ea2ab8c6db4a76"/>
  </x:tableParts>
</x:worksheet>
</file>