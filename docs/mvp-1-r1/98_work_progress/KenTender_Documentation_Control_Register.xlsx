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Documents" sheetId="2" state="visible" r:id="rId2"/>
    <sheet xmlns:r="http://schemas.openxmlformats.org/officeDocument/2006/relationships" name="Interfaces" sheetId="3" state="visible" r:id="rId3"/>
    <sheet xmlns:r="http://schemas.openxmlformats.org/officeDocument/2006/relationships" name="Decisions" sheetId="4" state="visible" r:id="rId4"/>
    <sheet xmlns:r="http://schemas.openxmlformats.org/officeDocument/2006/relationships" name="Delivery" sheetId="5" state="visible" r:id="rId5"/>
    <sheet xmlns:r="http://schemas.openxmlformats.org/officeDocument/2006/relationships" name="Future Work" sheetId="6" state="visible" r:id="rId6"/>
    <sheet xmlns:r="http://schemas.openxmlformats.org/officeDocument/2006/relationships" name="Audit" sheetId="7" state="visible" r:id="rId7"/>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yyyy\-mm\-dd"/>
  </numFmts>
  <fonts count="13">
    <font>
      <name val="Arial"/>
      <family val="2"/>
      <sz val="10"/>
    </font>
    <font>
      <name val="Arial"/>
      <family val="0"/>
      <sz val="10"/>
    </font>
    <font>
      <name val="Arial"/>
      <family val="0"/>
      <sz val="10"/>
    </font>
    <font>
      <name val="Arial"/>
      <family val="0"/>
      <sz val="10"/>
    </font>
    <font>
      <name val="Calibri"/>
      <charset val="1"/>
      <family val="0"/>
      <sz val="11"/>
    </font>
    <font>
      <name val="Aptos"/>
      <charset val="1"/>
      <family val="0"/>
      <b val="1"/>
      <color rgb="FFFFFFFF"/>
      <sz val="20"/>
    </font>
    <font>
      <name val="Aptos"/>
      <charset val="1"/>
      <family val="0"/>
      <color rgb="FF1F2937"/>
      <sz val="10"/>
    </font>
    <font>
      <name val="Aptos"/>
      <charset val="1"/>
      <family val="0"/>
      <b val="1"/>
      <color rgb="FFFFFFFF"/>
      <sz val="11"/>
    </font>
    <font>
      <name val="Aptos"/>
      <charset val="1"/>
      <family val="0"/>
      <b val="1"/>
      <color rgb="FF1F2937"/>
      <sz val="9"/>
    </font>
    <font>
      <name val="Aptos"/>
      <charset val="1"/>
      <family val="0"/>
      <b val="1"/>
      <color rgb="FF17365D"/>
      <sz val="20"/>
    </font>
    <font>
      <name val="Aptos"/>
      <charset val="1"/>
      <family val="0"/>
      <b val="1"/>
      <color rgb="FFFFFFFF"/>
      <sz val="9"/>
    </font>
    <font>
      <name val="Aptos"/>
      <charset val="1"/>
      <family val="0"/>
      <b val="1"/>
      <color rgb="FF17365D"/>
      <sz val="10"/>
    </font>
    <font>
      <name val="Aptos"/>
      <charset val="1"/>
      <family val="0"/>
      <b val="1"/>
      <color rgb="FFFFFFFF"/>
      <sz val="10"/>
    </font>
  </fonts>
  <fills count="8">
    <fill>
      <patternFill/>
    </fill>
    <fill>
      <patternFill patternType="gray125"/>
    </fill>
    <fill>
      <patternFill patternType="solid">
        <fgColor rgb="FF17365D"/>
        <bgColor rgb="FF1F2937"/>
      </patternFill>
    </fill>
    <fill>
      <patternFill patternType="solid">
        <fgColor rgb="FFEAF2F8"/>
        <bgColor rgb="FFF2F2F2"/>
      </patternFill>
    </fill>
    <fill>
      <patternFill patternType="solid">
        <fgColor rgb="FF4472C4"/>
        <bgColor rgb="FF666699"/>
      </patternFill>
    </fill>
    <fill>
      <patternFill patternType="solid">
        <fgColor rgb="FFF2F2F2"/>
        <bgColor rgb="FFEAF2F8"/>
      </patternFill>
    </fill>
    <fill>
      <patternFill patternType="solid">
        <fgColor rgb="FFFFFFFF"/>
        <bgColor rgb="FFF2F2F2"/>
      </patternFill>
    </fill>
    <fill>
      <patternFill patternType="solid">
        <fgColor rgb="FFD9EAF7"/>
        <bgColor rgb="FFEAF2F8"/>
      </patternFill>
    </fill>
  </fills>
  <borders count="10">
    <border>
      <left/>
      <right/>
      <top/>
      <bottom/>
      <diagonal/>
    </border>
    <border>
      <left style="thin">
        <color rgb="FFD0D7DE"/>
      </left>
      <right style="thin">
        <color rgb="FFD0D7DE"/>
      </right>
      <top style="thin">
        <color rgb="FFD0D7DE"/>
      </top>
      <bottom style="thin">
        <color rgb="FFD0D7DE"/>
      </bottom>
      <diagonal/>
    </border>
    <border>
      <left/>
      <right/>
      <top style="thin">
        <color rgb="FFD0D7DE"/>
      </top>
      <bottom/>
      <diagonal/>
    </border>
    <border>
      <left/>
      <right style="thin">
        <color rgb="FFD0D7DE"/>
      </right>
      <top style="thin">
        <color rgb="FFD0D7DE"/>
      </top>
      <bottom/>
      <diagonal/>
    </border>
    <border>
      <left/>
      <right style="thin">
        <color rgb="FFD0D7DE"/>
      </right>
      <top style="thin">
        <color rgb="FFD0D7DE"/>
      </top>
      <bottom style="thin">
        <color rgb="FFD0D7DE"/>
      </bottom>
      <diagonal/>
    </border>
    <border>
      <left style="thin">
        <color rgb="FFD0D7DE"/>
      </left>
      <right/>
      <top/>
      <bottom/>
      <diagonal/>
    </border>
    <border>
      <left/>
      <right style="thin">
        <color rgb="FFD0D7DE"/>
      </right>
      <top/>
      <bottom/>
      <diagonal/>
    </border>
    <border>
      <left style="thin">
        <color rgb="FFD0D7DE"/>
      </left>
      <right/>
      <top/>
      <bottom style="thin">
        <color rgb="FFD0D7DE"/>
      </bottom>
      <diagonal/>
    </border>
    <border>
      <left/>
      <right style="thin">
        <color rgb="FFD0D7DE"/>
      </right>
      <top/>
      <bottom style="thin">
        <color rgb="FFD0D7DE"/>
      </bottom>
      <diagonal/>
    </border>
    <border>
      <left/>
      <right/>
      <top style="thin">
        <color rgb="FFD0D7DE"/>
      </top>
      <bottom style="thin">
        <color rgb="FFD0D7DE"/>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5" fillId="2" borderId="0" applyAlignment="1" pivotButton="0" quotePrefix="0" xfId="20">
      <alignment horizontal="general" vertical="center"/>
    </xf>
    <xf numFmtId="0" fontId="6" fillId="0" borderId="0" applyAlignment="1" pivotButton="0" quotePrefix="0" xfId="20">
      <alignment horizontal="general" vertical="top"/>
    </xf>
    <xf numFmtId="0" fontId="6" fillId="3" borderId="0" applyAlignment="1" pivotButton="0" quotePrefix="0" xfId="20">
      <alignment horizontal="general" vertical="center" wrapText="1"/>
    </xf>
    <xf numFmtId="0" fontId="7" fillId="4" borderId="0" applyAlignment="1" pivotButton="0" quotePrefix="0" xfId="20">
      <alignment horizontal="general" vertical="top"/>
    </xf>
    <xf numFmtId="0" fontId="8" fillId="5" borderId="1" applyAlignment="1" pivotButton="0" quotePrefix="0" xfId="20">
      <alignment horizontal="center" vertical="center" wrapText="1"/>
    </xf>
    <xf numFmtId="0" fontId="9" fillId="6" borderId="1" applyAlignment="1" pivotButton="0" quotePrefix="0" xfId="20">
      <alignment horizontal="center" vertical="center"/>
    </xf>
    <xf numFmtId="0" fontId="10" fillId="2" borderId="0" applyAlignment="1" pivotButton="0" quotePrefix="0" xfId="20">
      <alignment horizontal="general" vertical="top" wrapText="1"/>
    </xf>
    <xf numFmtId="0" fontId="6" fillId="0" borderId="0" applyAlignment="1" pivotButton="0" quotePrefix="0" xfId="20">
      <alignment horizontal="general" vertical="top" wrapText="1"/>
    </xf>
    <xf numFmtId="0" fontId="11" fillId="7" borderId="1" applyAlignment="1" pivotButton="0" quotePrefix="0" xfId="20">
      <alignment horizontal="center" vertical="center"/>
    </xf>
    <xf numFmtId="0" fontId="11" fillId="0" borderId="1" applyAlignment="1" pivotButton="0" quotePrefix="0" xfId="20">
      <alignment horizontal="general" vertical="top"/>
    </xf>
    <xf numFmtId="0" fontId="6" fillId="0" borderId="1" applyAlignment="1" pivotButton="0" quotePrefix="0" xfId="20">
      <alignment horizontal="general" vertical="top" wrapText="1"/>
    </xf>
    <xf numFmtId="0" fontId="12" fillId="2" borderId="0" applyAlignment="1" pivotButton="0" quotePrefix="0" xfId="20">
      <alignment horizontal="general" vertical="center" wrapText="1"/>
    </xf>
    <xf numFmtId="164" fontId="6" fillId="0" borderId="0" applyAlignment="1" pivotButton="0" quotePrefix="0" xfId="20">
      <alignment horizontal="general" vertical="top"/>
    </xf>
    <xf numFmtId="0" fontId="0" fillId="0" borderId="0" applyAlignment="1" pivotButton="0" quotePrefix="0" xfId="0">
      <alignment horizontal="general" vertical="bottom"/>
    </xf>
    <xf numFmtId="0" fontId="0" fillId="0" borderId="0" pivotButton="0" quotePrefix="0" xfId="0"/>
    <xf numFmtId="0" fontId="5" fillId="2" borderId="0" applyAlignment="1" pivotButton="0" quotePrefix="0" xfId="20">
      <alignment horizontal="general" vertical="center"/>
    </xf>
    <xf numFmtId="0" fontId="6" fillId="0" borderId="0" applyAlignment="1" pivotButton="0" quotePrefix="0" xfId="20">
      <alignment horizontal="general" vertical="top"/>
    </xf>
    <xf numFmtId="0" fontId="6" fillId="3" borderId="0" applyAlignment="1" pivotButton="0" quotePrefix="0" xfId="20">
      <alignment horizontal="general" vertical="center" wrapText="1"/>
    </xf>
    <xf numFmtId="0" fontId="7" fillId="4" borderId="0" applyAlignment="1" pivotButton="0" quotePrefix="0" xfId="20">
      <alignment horizontal="general" vertical="top"/>
    </xf>
    <xf numFmtId="0" fontId="8" fillId="5" borderId="1" applyAlignment="1" pivotButton="0" quotePrefix="0" xfId="20">
      <alignment horizontal="center" vertical="center" wrapText="1"/>
    </xf>
    <xf numFmtId="0" fontId="0" fillId="0" borderId="4" pivotButton="0" quotePrefix="0" xfId="0"/>
    <xf numFmtId="0" fontId="9" fillId="6" borderId="1" applyAlignment="1" pivotButton="0" quotePrefix="0" xfId="20">
      <alignment horizontal="center" vertical="center"/>
    </xf>
    <xf numFmtId="0" fontId="0" fillId="0" borderId="3" pivotButton="0" quotePrefix="0" xfId="0"/>
    <xf numFmtId="0" fontId="0" fillId="0" borderId="7" pivotButton="0" quotePrefix="0" xfId="0"/>
    <xf numFmtId="0" fontId="0" fillId="0" borderId="8" pivotButton="0" quotePrefix="0" xfId="0"/>
    <xf numFmtId="0" fontId="10" fillId="2" borderId="0" applyAlignment="1" pivotButton="0" quotePrefix="0" xfId="20">
      <alignment horizontal="general" vertical="top" wrapText="1"/>
    </xf>
    <xf numFmtId="0" fontId="6" fillId="0" borderId="0" applyAlignment="1" pivotButton="0" quotePrefix="0" xfId="20">
      <alignment horizontal="general" vertical="top" wrapText="1"/>
    </xf>
    <xf numFmtId="0" fontId="11" fillId="7" borderId="1" applyAlignment="1" pivotButton="0" quotePrefix="0" xfId="20">
      <alignment horizontal="center" vertical="center"/>
    </xf>
    <xf numFmtId="0" fontId="11" fillId="0" borderId="1" applyAlignment="1" pivotButton="0" quotePrefix="0" xfId="20">
      <alignment horizontal="general" vertical="top"/>
    </xf>
    <xf numFmtId="0" fontId="6" fillId="0" borderId="1" applyAlignment="1" pivotButton="0" quotePrefix="0" xfId="20">
      <alignment horizontal="general" vertical="top" wrapText="1"/>
    </xf>
    <xf numFmtId="0" fontId="0" fillId="0" borderId="9" pivotButton="0" quotePrefix="0" xfId="0"/>
    <xf numFmtId="0" fontId="12" fillId="2" borderId="0" applyAlignment="1" pivotButton="0" quotePrefix="0" xfId="20">
      <alignment horizontal="general" vertical="center" wrapText="1"/>
    </xf>
    <xf numFmtId="164" fontId="6" fillId="0" borderId="0" applyAlignment="1" pivotButton="0" quotePrefix="0" xfId="2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ont>
        <b val="1"/>
        <color rgb="FF9C0006"/>
      </font>
      <fill>
        <patternFill>
          <bgColor rgb="FFFCE4D6"/>
        </patternFill>
      </fill>
    </dxf>
    <dxf>
      <font>
        <b val="1"/>
        <color rgb="FF7F6000"/>
      </font>
      <fill>
        <patternFill>
          <bgColor rgb="FFFFF2CC"/>
        </patternFill>
      </fill>
    </dxf>
    <dxf>
      <fill>
        <patternFill patternType="solid">
          <fgColor rgb="FF17365D"/>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E2F0D9"/>
          <bgColor rgb="FF000000"/>
        </patternFill>
      </fill>
    </dxf>
    <dxf>
      <fill>
        <patternFill patternType="solid">
          <fgColor rgb="FFFCE4D6"/>
          <bgColor rgb="FF000000"/>
        </patternFill>
      </fill>
    </dxf>
    <dxf>
      <fill>
        <patternFill patternType="solid">
          <fgColor rgb="FF375623"/>
          <bgColor rgb="FF000000"/>
        </patternFill>
      </fill>
    </dxf>
    <dxf>
      <fill>
        <patternFill patternType="solid">
          <fgColor rgb="FF9C0006"/>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7F6000"/>
          <bgColor rgb="FF000000"/>
        </patternFill>
      </fill>
    </dxf>
    <dxf>
      <font>
        <b val="1"/>
        <color rgb="FF375623"/>
      </font>
      <fill>
        <patternFill>
          <bgColor rgb="FFE2F0D9"/>
        </patternFill>
      </fill>
    </dxf>
    <dxf>
      <font>
        <color rgb="FF7F6000"/>
      </font>
      <fill>
        <patternFill>
          <bgColor rgb="FFFFF2CC"/>
        </patternFill>
      </fill>
    </dxf>
    <dxf>
      <font>
        <color rgb="FF1F2937"/>
      </font>
      <fill>
        <patternFill>
          <bgColor rgb="FFF2F2F2"/>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0C0C0"/>
      <rgbColor rgb="FF808080"/>
      <rgbColor rgb="FF9999FF"/>
      <rgbColor rgb="FF993366"/>
      <rgbColor rgb="FFFFF2CC"/>
      <rgbColor rgb="FFD9EAF7"/>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EAF2F8"/>
      <rgbColor rgb="FFE2F0D9"/>
      <rgbColor rgb="FFF2F2F2"/>
      <rgbColor rgb="FF99CCFF"/>
      <rgbColor rgb="FFFF99CC"/>
      <rgbColor rgb="FFCC99FF"/>
      <rgbColor rgb="FFFCE4D6"/>
      <rgbColor rgb="FF4472C4"/>
      <rgbColor rgb="FF33CCCC"/>
      <rgbColor rgb="FF99CC00"/>
      <rgbColor rgb="FFFFCC00"/>
      <rgbColor rgb="FFFF9900"/>
      <rgbColor rgb="FFFF6600"/>
      <rgbColor rgb="FF666699"/>
      <rgbColor rgb="FF969696"/>
      <rgbColor rgb="FF17365D"/>
      <rgbColor rgb="FF339966"/>
      <rgbColor rgb="FF003300"/>
      <rgbColor rgb="FF375623"/>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DocumentsTable" displayName="DocumentsTable" ref="A5:P35" headerRowCount="1" totalsRowCount="0" totalsRowShown="0">
  <tableColumns count="16">
    <tableColumn id="1" name="Document ID"/>
    <tableColumn id="2" name="Title"/>
    <tableColumn id="3" name="Version"/>
    <tableColumn id="4" name="Module"/>
    <tableColumn id="5" name="Category"/>
    <tableColumn id="6" name="Requirement status"/>
    <tableColumn id="7" name="Approval date"/>
    <tableColumn id="8" name="Supersedes / basis"/>
    <tableColumn id="9" name="Implementation"/>
    <tableColumn id="10" name="Verification"/>
    <tableColumn id="11" name="Release"/>
    <tableColumn id="12" name="Normative"/>
    <tableColumn id="13" name="Scope"/>
    <tableColumn id="14" name="Dependencies"/>
    <tableColumn id="15" name="Required action"/>
    <tableColumn id="16" name="Source"/>
  </tableColumns>
</table>
</file>

<file path=xl/tables/table2.xml><?xml version="1.0" encoding="utf-8"?>
<table xmlns="http://schemas.openxmlformats.org/spreadsheetml/2006/main" id="2" name="InterfacesTable" displayName="InterfacesTable" ref="A5:I25" headerRowCount="1" totalsRowCount="0" totalsRowShown="0">
  <autoFilter ref="A5:I25"/>
  <tableColumns count="9">
    <tableColumn id="1" name="Interface ID"/>
    <tableColumn id="2" name="Upstream owner"/>
    <tableColumn id="3" name="Downstream consumer"/>
    <tableColumn id="4" name="Contract / artifact"/>
    <tableColumn id="5" name="Requirement status"/>
    <tableColumn id="6" name="Implementation"/>
    <tableColumn id="7" name="Test status"/>
    <tableColumn id="8" name="Owning documents"/>
    <tableColumn id="9" name="Failure rule"/>
  </tableColumns>
</table>
</file>

<file path=xl/tables/table3.xml><?xml version="1.0" encoding="utf-8"?>
<table xmlns="http://schemas.openxmlformats.org/spreadsheetml/2006/main" id="3" name="DecisionsTable" displayName="DecisionsTable" ref="A5:F43" headerRowCount="1" totalsRowCount="0" totalsRowShown="0">
  <autoFilter ref="A5:F41"/>
  <tableColumns count="6">
    <tableColumn id="1" name="Decision ID"/>
    <tableColumn id="2" name="Decision"/>
    <tableColumn id="3" name="Status"/>
    <tableColumn id="4" name="Owning document"/>
    <tableColumn id="5" name="Implementation effect"/>
    <tableColumn id="6" name="Design effect"/>
  </tableColumns>
</table>
</file>

<file path=xl/tables/table4.xml><?xml version="1.0" encoding="utf-8"?>
<table xmlns="http://schemas.openxmlformats.org/spreadsheetml/2006/main" id="4" name="DeliveryTable" displayName="DeliveryTable" ref="A5:K55" headerRowCount="1" totalsRowCount="0" totalsRowShown="0">
  <autoFilter ref="A5:K55"/>
  <tableColumns count="11">
    <tableColumn id="1" name="Item ID"/>
    <tableColumn id="2" name="Area"/>
    <tableColumn id="3" name="Required change"/>
    <tableColumn id="4" name="Functional outcome"/>
    <tableColumn id="5" name="Design outcome"/>
    <tableColumn id="6" name="Owning document"/>
    <tableColumn id="7" name="Requirement status"/>
    <tableColumn id="8" name="Release gate"/>
    <tableColumn id="9" name="Implementation"/>
    <tableColumn id="10" name="Verification"/>
    <tableColumn id="11" name="Evidence / notes"/>
  </tableColumns>
</table>
</file>

<file path=xl/tables/table5.xml><?xml version="1.0" encoding="utf-8"?>
<table xmlns="http://schemas.openxmlformats.org/spreadsheetml/2006/main" id="5" name="FutureWorkTable" displayName="FutureWorkTable" ref="A5:G17" headerRowCount="1" totalsRowCount="0" totalsRowShown="0">
  <autoFilter ref="A5:G17"/>
  <tableColumns count="7">
    <tableColumn id="1" name="Future ID"/>
    <tableColumn id="2" name="Capability"/>
    <tableColumn id="3" name="Planned wave"/>
    <tableColumn id="4" name="Dependency"/>
    <tableColumn id="5" name="Status"/>
    <tableColumn id="6" name="Current boundary"/>
    <tableColumn id="7" name="Trigger to start"/>
  </tableColumns>
</table>
</file>

<file path=xl/tables/table6.xml><?xml version="1.0" encoding="utf-8"?>
<table xmlns="http://schemas.openxmlformats.org/spreadsheetml/2006/main" id="6" name="AuditTable" displayName="AuditTable" ref="A5:I29" headerRowCount="1" totalsRowCount="0" totalsRowShown="0">
  <autoFilter ref="A5:I29"/>
  <tableColumns count="9">
    <tableColumn id="1" name="Finding ID"/>
    <tableColumn id="2" name="Severity"/>
    <tableColumn id="3" name="Type"/>
    <tableColumn id="4" name="Finding"/>
    <tableColumn id="5" name="Status"/>
    <tableColumn id="6" name="Owner"/>
    <tableColumn id="7" name="Required action"/>
    <tableColumn id="8" name="Blocks"/>
    <tableColumn id="9" name="Eviden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filterMode="0">
    <tabColor rgb="FF17365D"/>
    <outlinePr summaryBelow="1" summaryRight="1"/>
    <pageSetUpPr fitToPage="0"/>
  </sheetPr>
  <dimension ref="A1:Z203"/>
  <sheetViews>
    <sheetView showFormulas="0" showGridLines="0" showRowColHeaders="1" showZeros="1" rightToLeft="0" tabSelected="1"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4" min="1" max="1"/>
    <col width="16" customWidth="1" style="14" min="2" max="2"/>
    <col width="18" customWidth="1" style="14" min="3" max="3"/>
    <col width="25" customWidth="1" style="14" min="4" max="4"/>
    <col width="20" customWidth="1" style="14" min="5" max="5"/>
    <col width="24" customWidth="1" style="14" min="6" max="6"/>
    <col width="14" customWidth="1" style="14" min="7" max="7"/>
    <col width="25" customWidth="1" style="14" min="8" max="8"/>
  </cols>
  <sheetData>
    <row r="1" ht="37.5" customHeight="1" s="15">
      <c r="A1" s="16" t="inlineStr">
        <is>
          <t>KenTender documentation control</t>
        </is>
      </c>
      <c r="I1" s="17" t="n"/>
      <c r="J1" s="17" t="n"/>
      <c r="K1" s="17" t="n"/>
      <c r="L1" s="17" t="n"/>
      <c r="M1" s="17" t="n"/>
      <c r="N1" s="17" t="n"/>
      <c r="O1" s="17" t="n"/>
      <c r="P1" s="17" t="n"/>
      <c r="Q1" s="17" t="n"/>
      <c r="R1" s="17" t="n"/>
      <c r="S1" s="17" t="n"/>
      <c r="T1" s="17" t="n"/>
      <c r="U1" s="17" t="n"/>
      <c r="V1" s="17" t="n"/>
      <c r="W1" s="17" t="n"/>
      <c r="X1" s="17" t="n"/>
      <c r="Y1" s="17" t="n"/>
      <c r="Z1" s="17" t="n"/>
    </row>
    <row r="2" ht="33.75" customHeight="1" s="15">
      <c r="A2" s="18" t="inlineStr">
        <is>
          <t>Current controlled baseline and delivery status as at 2026-10-03. Requirement approval, implementation, verification and release are tracked independently.</t>
        </is>
      </c>
      <c r="I2" s="17" t="n"/>
      <c r="J2" s="17" t="n"/>
      <c r="K2" s="17" t="n"/>
      <c r="L2" s="17" t="n"/>
      <c r="M2" s="17" t="n"/>
      <c r="N2" s="17" t="n"/>
      <c r="O2" s="17" t="n"/>
      <c r="P2" s="17" t="n"/>
      <c r="Q2" s="17" t="n"/>
      <c r="R2" s="17" t="n"/>
      <c r="S2" s="17" t="n"/>
      <c r="T2" s="17" t="n"/>
      <c r="U2" s="17" t="n"/>
      <c r="V2" s="17" t="n"/>
      <c r="W2" s="17" t="n"/>
      <c r="X2" s="17" t="n"/>
      <c r="Y2" s="17" t="n"/>
      <c r="Z2" s="17" t="n"/>
    </row>
    <row r="3" ht="15" customHeight="1" s="15">
      <c r="A3" s="17" t="n"/>
      <c r="B3" s="17" t="n"/>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ht="15" customHeight="1" s="15">
      <c r="A4" s="19" t="inlineStr">
        <is>
          <t>Baseline status</t>
        </is>
      </c>
      <c r="I4" s="17" t="n"/>
      <c r="J4" s="17" t="n"/>
      <c r="K4" s="17" t="n"/>
      <c r="L4" s="17" t="n"/>
      <c r="M4" s="17" t="n"/>
      <c r="N4" s="17" t="n"/>
      <c r="O4" s="17" t="n"/>
      <c r="P4" s="17" t="n"/>
      <c r="Q4" s="17" t="n"/>
      <c r="R4" s="17" t="n"/>
      <c r="S4" s="17" t="n"/>
      <c r="T4" s="17" t="n"/>
      <c r="U4" s="17" t="n"/>
      <c r="V4" s="17" t="n"/>
      <c r="W4" s="17" t="n"/>
      <c r="X4" s="17" t="n"/>
      <c r="Y4" s="17" t="n"/>
      <c r="Z4" s="17" t="n"/>
    </row>
    <row r="5" ht="22.35" customHeight="1" s="15">
      <c r="A5" s="20" t="inlineStr">
        <is>
          <t>Controlled / referenced artifacts</t>
        </is>
      </c>
      <c r="B5" s="21" t="n"/>
      <c r="C5" s="20" t="inlineStr">
        <is>
          <t>Approved requirements</t>
        </is>
      </c>
      <c r="D5" s="21" t="n"/>
      <c r="E5" s="20" t="inlineStr">
        <is>
          <t>Awaiting owner approval</t>
        </is>
      </c>
      <c r="F5" s="21" t="n"/>
      <c r="G5" s="20" t="inlineStr">
        <is>
          <t>Open delivery items</t>
        </is>
      </c>
      <c r="H5" s="21" t="n"/>
      <c r="I5" s="17" t="n"/>
      <c r="J5" s="17" t="n"/>
      <c r="K5" s="17" t="n"/>
      <c r="L5" s="17" t="n"/>
      <c r="M5" s="17" t="n"/>
      <c r="N5" s="17" t="n"/>
      <c r="O5" s="17" t="n"/>
      <c r="P5" s="17" t="n"/>
      <c r="Q5" s="17" t="n"/>
      <c r="R5" s="17" t="n"/>
      <c r="S5" s="17" t="n"/>
      <c r="T5" s="17" t="n"/>
      <c r="U5" s="17" t="n"/>
      <c r="V5" s="17" t="n"/>
      <c r="W5" s="17" t="n"/>
      <c r="X5" s="17" t="n"/>
      <c r="Y5" s="17" t="n"/>
      <c r="Z5" s="17" t="n"/>
    </row>
    <row r="6" ht="15" customHeight="1" s="15">
      <c r="A6" s="22">
        <f>COUNTA(Documents!A6:A35)</f>
        <v/>
      </c>
      <c r="B6" s="23" t="n"/>
      <c r="C6" s="22">
        <f>COUNTIF(Documents!F6:F35,"Approved requirement")</f>
        <v/>
      </c>
      <c r="D6" s="23" t="n"/>
      <c r="E6" s="22">
        <f>COUNTIF(Documents!F6:F35,"Project Owner review")</f>
        <v/>
      </c>
      <c r="F6" s="23" t="n"/>
      <c r="G6" s="22">
        <f>COUNTIF(Delivery!I6:I55,"Not started")+COUNTIF(Delivery!I6:I55,"Planned")+COUNTIF(Delivery!I6:I55,"Pending")</f>
        <v/>
      </c>
      <c r="H6" s="23" t="n"/>
      <c r="I6" s="17" t="n"/>
      <c r="J6" s="17" t="n"/>
      <c r="K6" s="17" t="n"/>
      <c r="L6" s="17" t="n"/>
      <c r="M6" s="17" t="n"/>
      <c r="N6" s="17" t="n"/>
      <c r="O6" s="17" t="n"/>
      <c r="P6" s="17" t="n"/>
      <c r="Q6" s="17" t="n"/>
      <c r="R6" s="17" t="n"/>
      <c r="S6" s="17" t="n"/>
      <c r="T6" s="17" t="n"/>
      <c r="U6" s="17" t="n"/>
      <c r="V6" s="17" t="n"/>
      <c r="W6" s="17" t="n"/>
      <c r="X6" s="17" t="n"/>
      <c r="Y6" s="17" t="n"/>
      <c r="Z6" s="17" t="n"/>
    </row>
    <row r="7" ht="15" customHeight="1" s="15">
      <c r="A7" s="24" t="n"/>
      <c r="B7" s="25" t="n"/>
      <c r="C7" s="24" t="n"/>
      <c r="D7" s="25" t="n"/>
      <c r="E7" s="24" t="n"/>
      <c r="F7" s="25" t="n"/>
      <c r="G7" s="24" t="n"/>
      <c r="H7" s="25" t="n"/>
      <c r="I7" s="17" t="n"/>
      <c r="J7" s="17" t="n"/>
      <c r="K7" s="17" t="n"/>
      <c r="L7" s="17" t="n"/>
      <c r="M7" s="17" t="n"/>
      <c r="N7" s="17" t="n"/>
      <c r="O7" s="17" t="n"/>
      <c r="P7" s="17" t="n"/>
      <c r="Q7" s="17" t="n"/>
      <c r="R7" s="17" t="n"/>
      <c r="S7" s="17" t="n"/>
      <c r="T7" s="17" t="n"/>
      <c r="U7" s="17" t="n"/>
      <c r="V7" s="17" t="n"/>
      <c r="W7" s="17" t="n"/>
      <c r="X7" s="17" t="n"/>
      <c r="Y7" s="17" t="n"/>
      <c r="Z7" s="17" t="n"/>
    </row>
    <row r="8" ht="15" customHeight="1" s="15">
      <c r="A8" s="17"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ht="15" customHeight="1" s="15">
      <c r="A9" s="19" t="inlineStr">
        <is>
          <t>Immediate attention</t>
        </is>
      </c>
      <c r="I9" s="17" t="n"/>
      <c r="J9" s="17" t="n"/>
      <c r="K9" s="17" t="n"/>
      <c r="L9" s="17" t="n"/>
      <c r="M9" s="17" t="n"/>
      <c r="N9" s="17" t="n"/>
      <c r="O9" s="17" t="n"/>
      <c r="P9" s="17" t="n"/>
      <c r="Q9" s="17" t="n"/>
      <c r="R9" s="17" t="n"/>
      <c r="S9" s="17" t="n"/>
      <c r="T9" s="17" t="n"/>
      <c r="U9" s="17" t="n"/>
      <c r="V9" s="17" t="n"/>
      <c r="W9" s="17" t="n"/>
      <c r="X9" s="17" t="n"/>
      <c r="Y9" s="17" t="n"/>
      <c r="Z9" s="17" t="n"/>
    </row>
    <row r="10" ht="15" customHeight="1" s="15">
      <c r="A10" s="26" t="inlineStr">
        <is>
          <t>Finding</t>
        </is>
      </c>
      <c r="B10" s="26" t="inlineStr">
        <is>
          <t>Severity</t>
        </is>
      </c>
      <c r="C10" s="26" t="inlineStr">
        <is>
          <t>Type</t>
        </is>
      </c>
      <c r="D10" s="26" t="inlineStr">
        <is>
          <t>Action</t>
        </is>
      </c>
      <c r="E10" s="26" t="inlineStr">
        <is>
          <t>Owner</t>
        </is>
      </c>
      <c r="F10" s="26" t="inlineStr">
        <is>
          <t>Blocks</t>
        </is>
      </c>
      <c r="G10" s="26" t="inlineStr">
        <is>
          <t>Status</t>
        </is>
      </c>
      <c r="H10" s="26" t="inlineStr">
        <is>
          <t>Evidence</t>
        </is>
      </c>
      <c r="I10" s="17" t="n"/>
      <c r="J10" s="17" t="n"/>
      <c r="K10" s="17" t="n"/>
      <c r="L10" s="17" t="n"/>
      <c r="M10" s="17" t="n"/>
      <c r="N10" s="17" t="n"/>
      <c r="O10" s="17" t="n"/>
      <c r="P10" s="17" t="n"/>
      <c r="Q10" s="17" t="n"/>
      <c r="R10" s="17" t="n"/>
      <c r="S10" s="17" t="n"/>
      <c r="T10" s="17" t="n"/>
      <c r="U10" s="17" t="n"/>
      <c r="V10" s="17" t="n"/>
      <c r="W10" s="17" t="n"/>
      <c r="X10" s="17" t="n"/>
      <c r="Y10" s="17" t="n"/>
      <c r="Z10" s="17" t="n"/>
    </row>
    <row r="11" ht="24" customHeight="1" s="15">
      <c r="A11" s="27" t="inlineStr">
        <is>
          <t>AUD-001</t>
        </is>
      </c>
      <c r="B11" s="27" t="inlineStr">
        <is>
          <t>High</t>
        </is>
      </c>
      <c r="C11" s="27" t="inlineStr">
        <is>
          <t>Approval</t>
        </is>
      </c>
      <c r="D11" s="27" t="inlineStr">
        <is>
          <t>Project Owner approved the current document on 1 October 2026. Implementation and verification remain separately tracked.</t>
        </is>
      </c>
      <c r="E11" s="27" t="inlineStr">
        <is>
          <t>Project Owner</t>
        </is>
      </c>
      <c r="F11" s="27" t="inlineStr">
        <is>
          <t>None — document approval recorded</t>
        </is>
      </c>
      <c r="G11" s="27" t="inlineStr">
        <is>
          <t>Closed</t>
        </is>
      </c>
      <c r="H11" s="27" t="inlineStr">
        <is>
          <t>CFG-CHG-002 v0.16 control block; Project Owner instruction 1 October 2026</t>
        </is>
      </c>
      <c r="I11" s="17" t="n"/>
      <c r="J11" s="17" t="n"/>
      <c r="K11" s="17" t="n"/>
      <c r="L11" s="17" t="n"/>
      <c r="M11" s="17" t="n"/>
      <c r="N11" s="17" t="n"/>
      <c r="O11" s="17" t="n"/>
      <c r="P11" s="17" t="n"/>
      <c r="Q11" s="17" t="n"/>
      <c r="R11" s="17" t="n"/>
      <c r="S11" s="17" t="n"/>
      <c r="T11" s="17" t="n"/>
      <c r="U11" s="17" t="n"/>
      <c r="V11" s="17" t="n"/>
      <c r="W11" s="17" t="n"/>
      <c r="X11" s="17" t="n"/>
      <c r="Y11" s="17" t="n"/>
      <c r="Z11" s="17" t="n"/>
    </row>
    <row r="12" ht="42" customHeight="1" s="15">
      <c r="A12" s="27" t="inlineStr">
        <is>
          <t>AUD-002</t>
        </is>
      </c>
      <c r="B12" s="27" t="inlineStr">
        <is>
          <t>High</t>
        </is>
      </c>
      <c r="C12" s="27" t="inlineStr">
        <is>
          <t>Approval</t>
        </is>
      </c>
      <c r="D12" s="27" t="inlineStr">
        <is>
          <t>No approval action remains; implementation and verification are tracked separately.</t>
        </is>
      </c>
      <c r="E12" s="27" t="inlineStr">
        <is>
          <t>Project Owner</t>
        </is>
      </c>
      <c r="F12" s="27" t="inlineStr">
        <is>
          <t>Authoritative Tender implementation baseline</t>
        </is>
      </c>
      <c r="G12" s="27" t="inlineStr">
        <is>
          <t>Closed</t>
        </is>
      </c>
      <c r="H12" s="27" t="inlineStr">
        <is>
          <t>TPR-CHG-001 v0.12 approval control block</t>
        </is>
      </c>
      <c r="I12" s="17" t="n"/>
      <c r="J12" s="17" t="n"/>
      <c r="K12" s="17" t="n"/>
      <c r="L12" s="17" t="n"/>
      <c r="M12" s="17" t="n"/>
      <c r="N12" s="17" t="n"/>
      <c r="O12" s="17" t="n"/>
      <c r="P12" s="17" t="n"/>
      <c r="Q12" s="17" t="n"/>
      <c r="R12" s="17" t="n"/>
      <c r="S12" s="17" t="n"/>
      <c r="T12" s="17" t="n"/>
      <c r="U12" s="17" t="n"/>
      <c r="V12" s="17" t="n"/>
      <c r="W12" s="17" t="n"/>
      <c r="X12" s="17" t="n"/>
      <c r="Y12" s="17" t="n"/>
      <c r="Z12" s="17" t="n"/>
    </row>
    <row r="13" ht="24" customHeight="1" s="15">
      <c r="A13" s="27" t="inlineStr">
        <is>
          <t>AUD-003</t>
        </is>
      </c>
      <c r="B13" s="27" t="inlineStr">
        <is>
          <t>High</t>
        </is>
      </c>
      <c r="C13" s="27" t="inlineStr">
        <is>
          <t>Approval</t>
        </is>
      </c>
      <c r="D13" s="27" t="inlineStr">
        <is>
          <t>No further requirement approval for v0.8; retain separate TPR v0.13 dependency and production operating gates.</t>
        </is>
      </c>
      <c r="E13" s="27" t="inlineStr">
        <is>
          <t>Project Owner</t>
        </is>
      </c>
      <c r="F13" s="27" t="inlineStr">
        <is>
          <t>None—requirements approval recorded</t>
        </is>
      </c>
      <c r="G13" s="27" t="inlineStr">
        <is>
          <t>Closed</t>
        </is>
      </c>
      <c r="H13" s="27" t="inlineStr">
        <is>
          <t>BDS-CHG-001 v0.8 approval record</t>
        </is>
      </c>
      <c r="I13" s="17" t="n"/>
      <c r="J13" s="17" t="n"/>
      <c r="K13" s="17" t="n"/>
      <c r="L13" s="17" t="n"/>
      <c r="M13" s="17" t="n"/>
      <c r="N13" s="17" t="n"/>
      <c r="O13" s="17" t="n"/>
      <c r="P13" s="17" t="n"/>
      <c r="Q13" s="17" t="n"/>
      <c r="R13" s="17" t="n"/>
      <c r="S13" s="17" t="n"/>
      <c r="T13" s="17" t="n"/>
      <c r="U13" s="17" t="n"/>
      <c r="V13" s="17" t="n"/>
      <c r="W13" s="17" t="n"/>
      <c r="X13" s="17" t="n"/>
      <c r="Y13" s="17" t="n"/>
      <c r="Z13" s="17" t="n"/>
    </row>
    <row r="14" ht="24" customHeight="1" s="15">
      <c r="A14" s="27" t="inlineStr">
        <is>
          <t>AUD-005</t>
        </is>
      </c>
      <c r="B14" s="27" t="inlineStr">
        <is>
          <t>High</t>
        </is>
      </c>
      <c r="C14" s="27" t="inlineStr">
        <is>
          <t>Approval</t>
        </is>
      </c>
      <c r="D14" s="27" t="inlineStr">
        <is>
          <t>Project Owner approved the current document on 1 October 2026. Implementation and verification remain separately tracked.</t>
        </is>
      </c>
      <c r="E14" s="27" t="inlineStr">
        <is>
          <t>Project Owner</t>
        </is>
      </c>
      <c r="F14" s="27" t="inlineStr">
        <is>
          <t>None — document approval recorded</t>
        </is>
      </c>
      <c r="G14" s="27" t="inlineStr">
        <is>
          <t>Closed</t>
        </is>
      </c>
      <c r="H14" s="27" t="inlineStr">
        <is>
          <t>G1-REG-001 v1.1 control block; Project Owner instruction 1 October 2026</t>
        </is>
      </c>
      <c r="I14" s="17" t="n"/>
      <c r="J14" s="17" t="n"/>
      <c r="K14" s="17" t="n"/>
      <c r="L14" s="17" t="n"/>
      <c r="M14" s="17" t="n"/>
      <c r="N14" s="17" t="n"/>
      <c r="O14" s="17" t="n"/>
      <c r="P14" s="17" t="n"/>
      <c r="Q14" s="17" t="n"/>
      <c r="R14" s="17" t="n"/>
      <c r="S14" s="17" t="n"/>
      <c r="T14" s="17" t="n"/>
      <c r="U14" s="17" t="n"/>
      <c r="V14" s="17" t="n"/>
      <c r="W14" s="17" t="n"/>
      <c r="X14" s="17" t="n"/>
      <c r="Y14" s="17" t="n"/>
      <c r="Z14" s="17" t="n"/>
    </row>
    <row r="15" ht="48.75" customHeight="1" s="15">
      <c r="A15" s="27" t="inlineStr">
        <is>
          <t>AUD-006</t>
        </is>
      </c>
      <c r="B15" s="27" t="inlineStr">
        <is>
          <t>Critical</t>
        </is>
      </c>
      <c r="C15" s="27" t="inlineStr">
        <is>
          <t>Bundle readiness</t>
        </is>
      </c>
      <c r="D15" s="27" t="inlineStr">
        <is>
          <t>Rebuild and verify the bundle; install with matching assets and renderer, then Administrator may turn it On.</t>
        </is>
      </c>
      <c r="E15" s="27" t="inlineStr">
        <is>
          <t>Controlled release owner</t>
        </is>
      </c>
      <c r="F15" s="27" t="inlineStr">
        <is>
          <t>Tender publication and production Bid Submission</t>
        </is>
      </c>
      <c r="G15" s="27" t="inlineStr">
        <is>
          <t>Open</t>
        </is>
      </c>
      <c r="H15" s="27" t="inlineStr">
        <is>
          <t>STD-TPL-001 v0.10 in-version amendment; FU-01 OD5; earlier candidate ZIP</t>
        </is>
      </c>
      <c r="I15" s="17" t="n"/>
      <c r="J15" s="17" t="n"/>
      <c r="K15" s="17" t="n"/>
      <c r="L15" s="17" t="n"/>
      <c r="M15" s="17" t="n"/>
      <c r="N15" s="17" t="n"/>
      <c r="O15" s="17" t="n"/>
      <c r="P15" s="17" t="n"/>
      <c r="Q15" s="17" t="n"/>
      <c r="R15" s="17" t="n"/>
      <c r="S15" s="17" t="n"/>
      <c r="T15" s="17" t="n"/>
      <c r="U15" s="17" t="n"/>
      <c r="V15" s="17" t="n"/>
      <c r="W15" s="17" t="n"/>
      <c r="X15" s="17" t="n"/>
      <c r="Y15" s="17" t="n"/>
      <c r="Z15" s="17" t="n"/>
    </row>
    <row r="16" ht="66" customHeight="1" s="15">
      <c r="A16" s="27" t="inlineStr">
        <is>
          <t>AUD-007</t>
        </is>
      </c>
      <c r="B16" s="27" t="inlineStr">
        <is>
          <t>Critical</t>
        </is>
      </c>
      <c r="C16" s="27" t="inlineStr">
        <is>
          <t>Operating gate</t>
        </is>
      </c>
      <c r="D16" s="27" t="inlineStr">
        <is>
          <t>Approve support, monitoring, recovery, authority and incident arrangements; then enable the deployment flag.</t>
        </is>
      </c>
      <c r="E16" s="27" t="inlineStr">
        <is>
          <t>Project Owner / Operations</t>
        </is>
      </c>
      <c r="F16" s="27" t="inlineStr">
        <is>
          <t>Production submission</t>
        </is>
      </c>
      <c r="G16" s="27" t="inlineStr">
        <is>
          <t>Open</t>
        </is>
      </c>
      <c r="H16" s="27" t="inlineStr">
        <is>
          <t>BDS-CHG-001 v0.8; G1-REG-001 v1.1</t>
        </is>
      </c>
      <c r="I16" s="17" t="n"/>
      <c r="J16" s="17" t="n"/>
      <c r="K16" s="17" t="n"/>
      <c r="L16" s="17" t="n"/>
      <c r="M16" s="17" t="n"/>
      <c r="N16" s="17" t="n"/>
      <c r="O16" s="17" t="n"/>
      <c r="P16" s="17" t="n"/>
      <c r="Q16" s="17" t="n"/>
      <c r="R16" s="17" t="n"/>
      <c r="S16" s="17" t="n"/>
      <c r="T16" s="17" t="n"/>
      <c r="U16" s="17" t="n"/>
      <c r="V16" s="17" t="n"/>
      <c r="W16" s="17" t="n"/>
      <c r="X16" s="17" t="n"/>
      <c r="Y16" s="17" t="n"/>
      <c r="Z16" s="17" t="n"/>
    </row>
    <row r="17" ht="159.75" customHeight="1" s="15">
      <c r="A17" s="27" t="inlineStr">
        <is>
          <t>AUD-008</t>
        </is>
      </c>
      <c r="B17" s="27" t="inlineStr">
        <is>
          <t>High</t>
        </is>
      </c>
      <c r="C17" s="27" t="inlineStr">
        <is>
          <t>Reconciliation</t>
        </is>
      </c>
      <c r="D17" s="27" t="inlineStr">
        <is>
          <t>Issue a reconciled fixture version before integrated verification. Also state that the canonical seed covers every module stage as it is built (DEC-028), replacing v1.3 §5.2's "No opening/evaluation/award actual generated by this seed". Carry forward SEED-OPS §11 decisions D1–D4, D7–D8 and D19–D20 into their named document successors. Keep unresolved D5–D6 and D9–D18 open; KT-STD v1.13 is approved; remaining fixture amendments stay open. Generated references are authoritative under DEC-027; static examples must not become alternate seeded tenders. Also tell the four-bid canonical story (DEC-038).</t>
        </is>
      </c>
      <c r="E17" s="27" t="inlineStr">
        <is>
          <t>Requirements owner</t>
        </is>
      </c>
      <c r="F17" s="27" t="inlineStr">
        <is>
          <t>Reliable end-to-end seed tests</t>
        </is>
      </c>
      <c r="G17" s="27" t="inlineStr">
        <is>
          <t>Open</t>
        </is>
      </c>
      <c r="H17" s="27" t="inlineStr">
        <is>
          <t>SEED-001 v1.3 compared with current baseline</t>
        </is>
      </c>
      <c r="I17" s="17" t="n"/>
      <c r="J17" s="17" t="n"/>
      <c r="K17" s="17" t="n"/>
      <c r="L17" s="17" t="n"/>
      <c r="M17" s="17" t="n"/>
      <c r="N17" s="17" t="n"/>
      <c r="O17" s="17" t="n"/>
      <c r="P17" s="17" t="n"/>
      <c r="Q17" s="17" t="n"/>
      <c r="R17" s="17" t="n"/>
      <c r="S17" s="17" t="n"/>
      <c r="T17" s="17" t="n"/>
      <c r="U17" s="17" t="n"/>
      <c r="V17" s="17" t="n"/>
      <c r="W17" s="17" t="n"/>
      <c r="X17" s="17" t="n"/>
      <c r="Y17" s="17" t="n"/>
      <c r="Z17" s="17" t="n"/>
    </row>
    <row r="18" ht="45" customHeight="1" s="15">
      <c r="A18" s="27" t="inlineStr">
        <is>
          <t>AUD-009</t>
        </is>
      </c>
      <c r="B18" s="27" t="inlineStr">
        <is>
          <t>Medium</t>
        </is>
      </c>
      <c r="C18" s="27" t="inlineStr">
        <is>
          <t>Stale reference</t>
        </is>
      </c>
      <c r="D18" s="27" t="inlineStr">
        <is>
          <t>Refresh document references without changing the approved legal decision.</t>
        </is>
      </c>
      <c r="E18" s="27" t="inlineStr">
        <is>
          <t>Requirements owner</t>
        </is>
      </c>
      <c r="F18" s="27" t="inlineStr">
        <is>
          <t>Clean reservation implementation handoff</t>
        </is>
      </c>
      <c r="G18" s="27" t="inlineStr">
        <is>
          <t>Open</t>
        </is>
      </c>
      <c r="H18" s="27" t="inlineStr">
        <is>
          <t>RES-IMP-001 v1.0 references</t>
        </is>
      </c>
      <c r="I18" s="17" t="n"/>
      <c r="J18" s="17" t="n"/>
      <c r="K18" s="17" t="n"/>
      <c r="L18" s="17" t="n"/>
      <c r="M18" s="17" t="n"/>
      <c r="N18" s="17" t="n"/>
      <c r="O18" s="17" t="n"/>
      <c r="P18" s="17" t="n"/>
      <c r="Q18" s="17" t="n"/>
      <c r="R18" s="17" t="n"/>
      <c r="S18" s="17" t="n"/>
      <c r="T18" s="17" t="n"/>
      <c r="U18" s="17" t="n"/>
      <c r="V18" s="17" t="n"/>
      <c r="W18" s="17" t="n"/>
      <c r="X18" s="17" t="n"/>
      <c r="Y18" s="17" t="n"/>
      <c r="Z18" s="17" t="n"/>
    </row>
    <row r="19" ht="45" customHeight="1" s="15">
      <c r="A19" s="27" t="inlineStr">
        <is>
          <t>AUD-010</t>
        </is>
      </c>
      <c r="B19" s="27" t="inlineStr">
        <is>
          <t>High</t>
        </is>
      </c>
      <c r="C19" s="27" t="inlineStr">
        <is>
          <t>Missing controlled file</t>
        </is>
      </c>
      <c r="D19" s="27" t="inlineStr">
        <is>
          <t>Locate or admit the exact version and record its authority.</t>
        </is>
      </c>
      <c r="E19" s="27" t="inlineStr">
        <is>
          <t>Documentation owner</t>
        </is>
      </c>
      <c r="F19" s="27" t="inlineStr">
        <is>
          <t>Complete template/tender/bid traceability</t>
        </is>
      </c>
      <c r="G19" s="27" t="inlineStr">
        <is>
          <t>Open</t>
        </is>
      </c>
      <c r="H19" s="27" t="inlineStr">
        <is>
          <t>References in current controlled documents</t>
        </is>
      </c>
      <c r="I19" s="17" t="n"/>
      <c r="J19" s="17" t="n"/>
      <c r="K19" s="17" t="n"/>
      <c r="L19" s="17" t="n"/>
      <c r="M19" s="17" t="n"/>
      <c r="N19" s="17" t="n"/>
      <c r="O19" s="17" t="n"/>
      <c r="P19" s="17" t="n"/>
      <c r="Q19" s="17" t="n"/>
      <c r="R19" s="17" t="n"/>
      <c r="S19" s="17" t="n"/>
      <c r="T19" s="17" t="n"/>
      <c r="U19" s="17" t="n"/>
      <c r="V19" s="17" t="n"/>
      <c r="W19" s="17" t="n"/>
      <c r="X19" s="17" t="n"/>
      <c r="Y19" s="17" t="n"/>
      <c r="Z19" s="17" t="n"/>
    </row>
    <row r="20" ht="42" customHeight="1" s="15">
      <c r="A20" s="27" t="inlineStr">
        <is>
          <t>AUD-011</t>
        </is>
      </c>
      <c r="B20" s="27" t="inlineStr">
        <is>
          <t>High</t>
        </is>
      </c>
      <c r="C20" s="27" t="inlineStr">
        <is>
          <t>Missing controlled file</t>
        </is>
      </c>
      <c r="D20" s="27" t="inlineStr">
        <is>
          <t>Exact v0.5 file supplied 2 October 2026 and recorded in the STD-ST-001 entry; library admission and file ID remain for the documentation owner. (Before 2 October 2026 read: Locate or admit the exact version before integrated stress testing.)</t>
        </is>
      </c>
      <c r="E20" s="27" t="inlineStr">
        <is>
          <t>Documentation owner</t>
        </is>
      </c>
      <c r="F20" s="27" t="inlineStr">
        <is>
          <t>None for file resolution; see AUD-023 for its approval-effect condition. (Before 2 October 2026 read: Gate 1 integrated verification)</t>
        </is>
      </c>
      <c r="G20" s="27" t="inlineStr">
        <is>
          <t>Resolved</t>
        </is>
      </c>
      <c r="H20" s="27" t="inlineStr">
        <is>
          <t>References in current controlled documents; KenTender_STD-ST-001_STD-ADR-002_Manual_End-to-End_Stress_Test_v0_5.md control table: Version 0.5, Status Approved, Approved on 11 September 2026</t>
        </is>
      </c>
      <c r="I20" s="17" t="n"/>
      <c r="J20" s="17" t="n"/>
      <c r="K20" s="17" t="n"/>
      <c r="L20" s="17" t="n"/>
      <c r="M20" s="17" t="n"/>
      <c r="N20" s="17" t="n"/>
      <c r="O20" s="17" t="n"/>
      <c r="P20" s="17" t="n"/>
      <c r="Q20" s="17" t="n"/>
      <c r="R20" s="17" t="n"/>
      <c r="S20" s="17" t="n"/>
      <c r="T20" s="17" t="n"/>
      <c r="U20" s="17" t="n"/>
      <c r="V20" s="17" t="n"/>
      <c r="W20" s="17" t="n"/>
      <c r="X20" s="17" t="n"/>
      <c r="Y20" s="17" t="n"/>
      <c r="Z20" s="17" t="n"/>
    </row>
    <row r="21" ht="55.5" customHeight="1" s="15">
      <c r="A21" s="27" t="inlineStr">
        <is>
          <t>AUD-013</t>
        </is>
      </c>
      <c r="B21" s="27" t="inlineStr">
        <is>
          <t>High</t>
        </is>
      </c>
      <c r="C21" s="27" t="inlineStr">
        <is>
          <t>Cross-module adoption</t>
        </is>
      </c>
      <c r="D21" s="27" t="inlineStr">
        <is>
          <t>Adopt the shared contract in each active module and run persona/state conformance tests.</t>
        </is>
      </c>
      <c r="E21" s="27" t="inlineStr">
        <is>
          <t>Requirements and implementation owners</t>
        </is>
      </c>
      <c r="F21" s="27" t="inlineStr">
        <is>
          <t>Usability-complete Gate 1 verification</t>
        </is>
      </c>
      <c r="G21" s="27" t="inlineStr">
        <is>
          <t>Open</t>
        </is>
      </c>
      <c r="H21" s="27" t="inlineStr">
        <is>
          <t>KT-STD-001 v1.9; PLN-CHG-001 v1.27; Workflow Guidance Standard</t>
        </is>
      </c>
      <c r="I21" s="17" t="n"/>
      <c r="J21" s="17" t="n"/>
      <c r="K21" s="17" t="n"/>
      <c r="L21" s="17" t="n"/>
      <c r="M21" s="17" t="n"/>
      <c r="N21" s="17" t="n"/>
      <c r="O21" s="17" t="n"/>
      <c r="P21" s="17" t="n"/>
      <c r="Q21" s="17" t="n"/>
      <c r="R21" s="17" t="n"/>
      <c r="S21" s="17" t="n"/>
      <c r="T21" s="17" t="n"/>
      <c r="U21" s="17" t="n"/>
      <c r="V21" s="17" t="n"/>
      <c r="W21" s="17" t="n"/>
      <c r="X21" s="17" t="n"/>
      <c r="Y21" s="17" t="n"/>
      <c r="Z21" s="17" t="n"/>
    </row>
    <row r="22" ht="48.75" customHeight="1" s="15">
      <c r="A22" s="27" t="inlineStr">
        <is>
          <t>AUD-014</t>
        </is>
      </c>
      <c r="B22" s="27" t="inlineStr">
        <is>
          <t>High</t>
        </is>
      </c>
      <c r="C22" s="27" t="inlineStr">
        <is>
          <t>Implementation handoff</t>
        </is>
      </c>
      <c r="D22" s="27" t="inlineStr">
        <is>
          <t>Issue a controlled SEED successor before integrated implementation verification.</t>
        </is>
      </c>
      <c r="E22" s="27" t="inlineStr">
        <is>
          <t>Requirements owner</t>
        </is>
      </c>
      <c r="F22" s="27" t="inlineStr">
        <is>
          <t>One reproducible end-to-end test baseline</t>
        </is>
      </c>
      <c r="G22" s="27" t="inlineStr">
        <is>
          <t>Open</t>
        </is>
      </c>
      <c r="H22" s="27" t="inlineStr">
        <is>
          <t>G1-REG-001 v1.1; SEED-001 v1.3 compared with current baseline</t>
        </is>
      </c>
      <c r="I22" s="17" t="n"/>
      <c r="J22" s="17" t="n"/>
      <c r="K22" s="17" t="n"/>
      <c r="L22" s="17" t="n"/>
      <c r="M22" s="17" t="n"/>
      <c r="N22" s="17" t="n"/>
      <c r="O22" s="17" t="n"/>
      <c r="P22" s="17" t="n"/>
      <c r="Q22" s="17" t="n"/>
      <c r="R22" s="17" t="n"/>
      <c r="S22" s="17" t="n"/>
      <c r="T22" s="17" t="n"/>
      <c r="U22" s="17" t="n"/>
      <c r="V22" s="17" t="n"/>
      <c r="W22" s="17" t="n"/>
      <c r="X22" s="17" t="n"/>
      <c r="Y22" s="17" t="n"/>
      <c r="Z22" s="17" t="n"/>
    </row>
    <row r="23" ht="70.5" customHeight="1" s="15">
      <c r="A23" s="27" t="inlineStr">
        <is>
          <t>AUD-016</t>
        </is>
      </c>
      <c r="B23" s="27" t="inlineStr">
        <is>
          <t>Medium</t>
        </is>
      </c>
      <c r="C23" s="27" t="inlineStr">
        <is>
          <t>Approval</t>
        </is>
      </c>
      <c r="D23" s="27" t="inlineStr">
        <is>
          <t>Project Owner approved the current document on 1 October 2026. Implementation and verification remain separately tracked.</t>
        </is>
      </c>
      <c r="E23" s="27" t="inlineStr">
        <is>
          <t>Project Owner</t>
        </is>
      </c>
      <c r="F23" s="27" t="inlineStr">
        <is>
          <t>None — document approval recorded</t>
        </is>
      </c>
      <c r="G23" s="27" t="inlineStr">
        <is>
          <t>Closed</t>
        </is>
      </c>
      <c r="H23" s="27" t="inlineStr">
        <is>
          <t>AUTH-ADR-001 v1.10 control block; Project Owner instruction 1 October 2026</t>
        </is>
      </c>
      <c r="I23" s="17" t="n"/>
      <c r="J23" s="17" t="n"/>
      <c r="K23" s="17" t="n"/>
      <c r="L23" s="17" t="n"/>
      <c r="M23" s="17" t="n"/>
      <c r="N23" s="17" t="n"/>
      <c r="O23" s="17" t="n"/>
      <c r="P23" s="17" t="n"/>
      <c r="Q23" s="17" t="n"/>
      <c r="R23" s="17" t="n"/>
      <c r="S23" s="17" t="n"/>
      <c r="T23" s="17" t="n"/>
      <c r="U23" s="17" t="n"/>
      <c r="V23" s="17" t="n"/>
      <c r="W23" s="17" t="n"/>
      <c r="X23" s="17" t="n"/>
      <c r="Y23" s="17" t="n"/>
      <c r="Z23" s="17" t="n"/>
    </row>
    <row r="24" ht="150" customHeight="1" s="15">
      <c r="A24" s="27" t="inlineStr">
        <is>
          <t>AUD-020</t>
        </is>
      </c>
      <c r="B24" s="27" t="inlineStr">
        <is>
          <t>Medium</t>
        </is>
      </c>
      <c r="C24" s="27" t="inlineStr">
        <is>
          <t>Implementation evidence reconciliation</t>
        </is>
      </c>
      <c r="D24" s="27" t="inlineStr">
        <is>
          <t>Link versioned build/test evidence and the Award plan. Verify complete module acceptance and current seed outcomes separately. Do not infer production readiness or requirements approval from seed results.</t>
        </is>
      </c>
      <c r="E24" s="27" t="inlineStr">
        <is>
          <t>Implementation and verification owners</t>
        </is>
      </c>
      <c r="F24" s="27" t="inlineStr">
        <is>
          <t>Full implementation/verification closure for the affected modules</t>
        </is>
      </c>
      <c r="G24" s="27" t="inlineStr">
        <is>
          <t>Open</t>
        </is>
      </c>
      <c r="H24" s="27" t="inlineStr">
        <is>
          <t>SEED-OPS v1.18 §§2, 9A–9B, 10–11; supplied register SEED-OPS entry reports 23/23 tests on 1 October 2026.</t>
        </is>
      </c>
      <c r="I24" s="17" t="n"/>
      <c r="J24" s="17" t="n"/>
      <c r="K24" s="17" t="n"/>
      <c r="L24" s="17" t="n"/>
      <c r="M24" s="17" t="n"/>
      <c r="N24" s="17" t="n"/>
      <c r="O24" s="17" t="n"/>
      <c r="P24" s="17" t="n"/>
      <c r="Q24" s="17" t="n"/>
      <c r="R24" s="17" t="n"/>
      <c r="S24" s="17" t="n"/>
      <c r="T24" s="17" t="n"/>
      <c r="U24" s="17" t="n"/>
      <c r="V24" s="17" t="n"/>
      <c r="W24" s="17" t="n"/>
      <c r="X24" s="17" t="n"/>
      <c r="Y24" s="17" t="n"/>
      <c r="Z24" s="17" t="n"/>
    </row>
    <row r="25" ht="150" customHeight="1" s="15">
      <c r="A25" s="27" t="inlineStr">
        <is>
          <t>AUD-022</t>
        </is>
      </c>
      <c r="B25" s="27" t="inlineStr">
        <is>
          <t>Medium</t>
        </is>
      </c>
      <c r="C25" s="27" t="inlineStr">
        <is>
          <t>Stale reference</t>
        </is>
      </c>
      <c r="D25" s="27" t="inlineStr">
        <is>
          <t>Reconcile the citations in each document's next successor without changing approved behaviour; the TPR and BDS walkthrough successors are the natural vehicle.</t>
        </is>
      </c>
      <c r="E25" s="27" t="inlineStr">
        <is>
          <t>Requirements owner</t>
        </is>
      </c>
      <c r="F25" s="27" t="inlineStr">
        <is>
          <t>Clean template/tender/bid traceability</t>
        </is>
      </c>
      <c r="G25" s="27" t="inlineStr">
        <is>
          <t>Open</t>
        </is>
      </c>
      <c r="H25" s="27" t="inlineStr">
        <is>
          <t>TPR-CHG-001 v0.15 control table 'Owner contracts' and §17; BDS-CHG-001 v0.10 control table, §17 and BDS06-AC-001; STD-TPL-001 v0.13 control table 'Implementation authority' and §17</t>
        </is>
      </c>
    </row>
    <row r="26" ht="150" customHeight="1" s="15">
      <c r="A26" s="27" t="inlineStr">
        <is>
          <t>AUD-023</t>
        </is>
      </c>
      <c r="B26" s="27" t="inlineStr">
        <is>
          <t>Medium</t>
        </is>
      </c>
      <c r="C26" s="27" t="inlineStr">
        <is>
          <t>Evidence</t>
        </is>
      </c>
      <c r="D26" s="27" t="inlineStr">
        <is>
          <t>Record whether the §13 walkthroughs were held, waived or superseded, and whether STD-TPL-IMP-001 v1.1 is the required implementation pack.</t>
        </is>
      </c>
      <c r="E26" s="27" t="inlineStr">
        <is>
          <t>Project Owner</t>
        </is>
      </c>
      <c r="F26" s="27" t="inlineStr">
        <is>
          <t>Clean authority trail for STD template implementation</t>
        </is>
      </c>
      <c r="G26" s="27" t="inlineStr">
        <is>
          <t>Open</t>
        </is>
      </c>
      <c r="H26" s="27" t="inlineStr">
        <is>
          <t>STD-ST-001 v0.5 'Approval effect' and §13</t>
        </is>
      </c>
    </row>
    <row r="27" ht="150" customHeight="1" s="15">
      <c r="A27" s="27" t="inlineStr">
        <is>
          <t>AUD-024</t>
        </is>
      </c>
      <c r="B27" s="27" t="inlineStr">
        <is>
          <t>Low</t>
        </is>
      </c>
      <c r="C27" s="27" t="inlineStr">
        <is>
          <t>Version coordination</t>
        </is>
      </c>
      <c r="D27" s="27" t="inlineStr">
        <is>
          <t>Settle the numbering before approval; renumber and rebase the later one without changing its content (STD-TPL-001 proposed v0.14 control table, 'Version coordination (v0.14)').</t>
        </is>
      </c>
      <c r="E27" s="27" t="inlineStr">
        <is>
          <t>Requirements owner</t>
        </is>
      </c>
      <c r="F27" s="27" t="inlineStr">
        <is>
          <t>Approval of STD-TPL-001 v0.14</t>
        </is>
      </c>
      <c r="G27" s="27" t="inlineStr">
        <is>
          <t>Open</t>
        </is>
      </c>
      <c r="H27" s="27" t="inlineStr">
        <is>
          <t>KenTender_STD-TPL-001_IT_Equipment_Tender_Template_Curation_and_Release_Pack_v0_14.md control table</t>
        </is>
      </c>
    </row>
    <row r="28" ht="37.5" customHeight="1" s="15">
      <c r="A28" s="27" t="n"/>
      <c r="B28" s="27" t="n"/>
      <c r="C28" s="27" t="n"/>
      <c r="D28" s="27" t="n"/>
      <c r="E28" s="27" t="n"/>
      <c r="F28" s="27" t="n"/>
      <c r="G28" s="27" t="n"/>
      <c r="H28" s="27" t="n"/>
      <c r="I28" s="17" t="n"/>
      <c r="J28" s="17" t="n"/>
      <c r="K28" s="17" t="n"/>
      <c r="L28" s="17" t="n"/>
      <c r="M28" s="17" t="n"/>
      <c r="N28" s="17" t="n"/>
      <c r="O28" s="17" t="n"/>
      <c r="P28" s="17" t="n"/>
      <c r="Q28" s="17" t="n"/>
      <c r="R28" s="17" t="n"/>
      <c r="S28" s="17" t="n"/>
      <c r="T28" s="17" t="n"/>
      <c r="U28" s="17" t="n"/>
      <c r="V28" s="17" t="n"/>
      <c r="W28" s="17" t="n"/>
      <c r="X28" s="17" t="n"/>
      <c r="Y28" s="17" t="n"/>
      <c r="Z28" s="17" t="n"/>
    </row>
    <row r="29" ht="37.5" customHeight="1" s="15">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37.5" customHeight="1" s="15">
      <c r="A30" s="19" t="inlineStr">
        <is>
          <t>Control rules</t>
        </is>
      </c>
      <c r="I30" s="17" t="n"/>
      <c r="J30" s="17" t="n"/>
      <c r="K30" s="17" t="n"/>
      <c r="L30" s="17" t="n"/>
      <c r="M30" s="17" t="n"/>
      <c r="N30" s="17" t="n"/>
      <c r="O30" s="17" t="n"/>
      <c r="P30" s="17" t="n"/>
      <c r="Q30" s="17" t="n"/>
      <c r="R30" s="17" t="n"/>
      <c r="S30" s="17" t="n"/>
      <c r="T30" s="17" t="n"/>
      <c r="U30" s="17" t="n"/>
      <c r="V30" s="17" t="n"/>
      <c r="W30" s="17" t="n"/>
      <c r="X30" s="17" t="n"/>
      <c r="Y30" s="17" t="n"/>
      <c r="Z30" s="17" t="n"/>
    </row>
    <row r="31" ht="37.5" customHeight="1" s="15">
      <c r="A31" s="28" t="inlineStr">
        <is>
          <t>1</t>
        </is>
      </c>
      <c r="B31" s="29" t="inlineStr">
        <is>
          <t>One current authority</t>
        </is>
      </c>
      <c r="C31" s="30" t="inlineStr">
        <is>
          <t>Only the version listed as current controls implementation. Older documents remain historical.</t>
        </is>
      </c>
      <c r="D31" s="31" t="n"/>
      <c r="E31" s="31" t="n"/>
      <c r="F31" s="31" t="n"/>
      <c r="G31" s="31" t="n"/>
      <c r="H31" s="21" t="n"/>
      <c r="I31" s="17" t="n"/>
      <c r="J31" s="17" t="n"/>
      <c r="K31" s="17" t="n"/>
      <c r="L31" s="17" t="n"/>
      <c r="M31" s="17" t="n"/>
      <c r="N31" s="17" t="n"/>
      <c r="O31" s="17" t="n"/>
      <c r="P31" s="17" t="n"/>
      <c r="Q31" s="17" t="n"/>
      <c r="R31" s="17" t="n"/>
      <c r="S31" s="17" t="n"/>
      <c r="T31" s="17" t="n"/>
      <c r="U31" s="17" t="n"/>
      <c r="V31" s="17" t="n"/>
      <c r="W31" s="17" t="n"/>
      <c r="X31" s="17" t="n"/>
      <c r="Y31" s="17" t="n"/>
      <c r="Z31" s="17" t="n"/>
    </row>
    <row r="32" ht="15" customHeight="1" s="15">
      <c r="A32" s="28" t="inlineStr">
        <is>
          <t>2</t>
        </is>
      </c>
      <c r="B32" s="29" t="inlineStr">
        <is>
          <t>Four separate states</t>
        </is>
      </c>
      <c r="C32" s="30" t="inlineStr">
        <is>
          <t>Requirement approval never proves implementation, verification or production release.</t>
        </is>
      </c>
      <c r="D32" s="31" t="n"/>
      <c r="E32" s="31" t="n"/>
      <c r="F32" s="31" t="n"/>
      <c r="G32" s="31" t="n"/>
      <c r="H32" s="21" t="n"/>
      <c r="I32" s="17" t="n"/>
      <c r="J32" s="17" t="n"/>
      <c r="K32" s="17" t="n"/>
      <c r="L32" s="17" t="n"/>
      <c r="M32" s="17" t="n"/>
      <c r="N32" s="17" t="n"/>
      <c r="O32" s="17" t="n"/>
      <c r="P32" s="17" t="n"/>
      <c r="Q32" s="17" t="n"/>
      <c r="R32" s="17" t="n"/>
      <c r="S32" s="17" t="n"/>
      <c r="T32" s="17" t="n"/>
      <c r="U32" s="17" t="n"/>
      <c r="V32" s="17" t="n"/>
      <c r="W32" s="17" t="n"/>
      <c r="X32" s="17" t="n"/>
      <c r="Y32" s="17" t="n"/>
      <c r="Z32" s="17" t="n"/>
    </row>
    <row r="33" ht="15" customHeight="1" s="15">
      <c r="A33" s="28" t="inlineStr">
        <is>
          <t>3</t>
        </is>
      </c>
      <c r="B33" s="29" t="inlineStr">
        <is>
          <t>Interfaces are first-class</t>
        </is>
      </c>
      <c r="C33" s="30" t="inlineStr">
        <is>
          <t>A module is not complete until every upstream and downstream contract is closed and tested.</t>
        </is>
      </c>
      <c r="D33" s="31" t="n"/>
      <c r="E33" s="31" t="n"/>
      <c r="F33" s="31" t="n"/>
      <c r="G33" s="31" t="n"/>
      <c r="H33" s="21" t="n"/>
      <c r="I33" s="17" t="n"/>
      <c r="J33" s="17" t="n"/>
      <c r="K33" s="17" t="n"/>
      <c r="L33" s="17" t="n"/>
      <c r="M33" s="17" t="n"/>
      <c r="N33" s="17" t="n"/>
      <c r="O33" s="17" t="n"/>
      <c r="P33" s="17" t="n"/>
      <c r="Q33" s="17" t="n"/>
      <c r="R33" s="17" t="n"/>
      <c r="S33" s="17" t="n"/>
      <c r="T33" s="17" t="n"/>
      <c r="U33" s="17" t="n"/>
      <c r="V33" s="17" t="n"/>
      <c r="W33" s="17" t="n"/>
      <c r="X33" s="17" t="n"/>
      <c r="Y33" s="17" t="n"/>
      <c r="Z33" s="17" t="n"/>
    </row>
    <row r="34" ht="15" customHeight="1" s="15">
      <c r="A34" s="28" t="inlineStr">
        <is>
          <t>4</t>
        </is>
      </c>
      <c r="B34" s="29" t="inlineStr">
        <is>
          <t>Future work remains visible</t>
        </is>
      </c>
      <c r="C34" s="30" t="inlineStr">
        <is>
          <t>Deferred capabilities stay recorded with a boundary and trigger; they are not hidden placeholders in the current UI.</t>
        </is>
      </c>
      <c r="D34" s="31" t="n"/>
      <c r="E34" s="31" t="n"/>
      <c r="F34" s="31" t="n"/>
      <c r="G34" s="31" t="n"/>
      <c r="H34" s="21" t="n"/>
      <c r="I34" s="17" t="n"/>
      <c r="J34" s="17" t="n"/>
      <c r="K34" s="17" t="n"/>
      <c r="L34" s="17" t="n"/>
      <c r="M34" s="17" t="n"/>
      <c r="N34" s="17" t="n"/>
      <c r="O34" s="17" t="n"/>
      <c r="P34" s="17" t="n"/>
      <c r="Q34" s="17" t="n"/>
      <c r="R34" s="17" t="n"/>
      <c r="S34" s="17" t="n"/>
      <c r="T34" s="17" t="n"/>
      <c r="U34" s="17" t="n"/>
      <c r="V34" s="17" t="n"/>
      <c r="W34" s="17" t="n"/>
      <c r="X34" s="17" t="n"/>
      <c r="Y34" s="17" t="n"/>
      <c r="Z34" s="17" t="n"/>
    </row>
    <row r="35" ht="15" customHeight="1" s="1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 customHeight="1" s="15">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 customHeight="1" s="15">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 customHeight="1" s="15">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 customHeight="1" s="15">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 customHeight="1" s="15">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15" customHeight="1" s="15">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 customHeight="1" s="15">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 customHeight="1" s="15">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 customHeight="1" s="15">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 customHeight="1" s="1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 customHeight="1" s="15">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 customHeight="1" s="15">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 customHeight="1" s="15">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 customHeight="1" s="15">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 customHeight="1" s="15">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row>
    <row r="51" ht="15" customHeight="1" s="15">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row>
    <row r="52" ht="15" customHeight="1" s="15">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row>
    <row r="53" ht="15" customHeight="1" s="15">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row>
    <row r="54" ht="15" customHeight="1" s="15">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row>
    <row r="55" ht="15" customHeight="1" s="1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row>
    <row r="56" ht="15" customHeight="1" s="15">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row>
    <row r="57" ht="15" customHeight="1" s="15">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row>
    <row r="58" ht="15" customHeight="1" s="15">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row>
    <row r="59" ht="15" customHeight="1" s="15">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row>
    <row r="60" ht="15" customHeight="1" s="15">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row>
    <row r="61" ht="15" customHeight="1" s="15">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row>
    <row r="62" ht="15" customHeight="1" s="15">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row>
    <row r="63" ht="15" customHeight="1" s="15">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row>
    <row r="64" ht="15" customHeight="1" s="15">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row>
    <row r="65" ht="15" customHeight="1" s="15">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row>
    <row r="66" ht="15" customHeight="1" s="15">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row>
    <row r="67" ht="15" customHeight="1" s="15">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row>
    <row r="68" ht="15" customHeight="1" s="15">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row>
    <row r="69" ht="15" customHeight="1" s="15">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row>
    <row r="70" ht="15" customHeight="1" s="15">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row>
    <row r="71" ht="15" customHeight="1" s="15">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row>
    <row r="72" ht="15" customHeight="1" s="15">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row>
    <row r="73" ht="15" customHeight="1" s="15">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row>
    <row r="74" ht="15" customHeight="1" s="15">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row>
    <row r="75" ht="15" customHeight="1" s="15">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row>
    <row r="76" ht="15" customHeight="1" s="15">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row>
    <row r="77" ht="15" customHeight="1" s="15">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row>
    <row r="78" ht="15" customHeight="1" s="15">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row>
    <row r="79" ht="15" customHeight="1" s="15">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row>
    <row r="80" ht="15" customHeight="1" s="15">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row>
    <row r="81" ht="15" customHeight="1" s="15">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row>
    <row r="82" ht="15" customHeight="1" s="15">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row>
    <row r="83" ht="15" customHeight="1" s="15">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row>
    <row r="84" ht="15" customHeight="1" s="15">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row>
    <row r="85" ht="15" customHeight="1" s="15">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row>
    <row r="86" ht="15" customHeight="1" s="15">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row>
    <row r="87" ht="15" customHeight="1" s="15">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row>
    <row r="88" ht="15" customHeight="1" s="15">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row>
    <row r="89" ht="15" customHeight="1" s="15">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row>
    <row r="90" ht="15" customHeight="1" s="15">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row>
    <row r="91" ht="15" customHeight="1" s="15">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row>
    <row r="92" ht="15" customHeight="1" s="15">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row>
    <row r="93" ht="15" customHeight="1" s="15">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row>
    <row r="94" ht="15" customHeight="1" s="15">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row>
    <row r="95" ht="15" customHeight="1" s="15">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row>
    <row r="96" ht="15" customHeight="1" s="15">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row>
    <row r="97" ht="15" customHeight="1" s="15">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row>
    <row r="98" ht="15" customHeight="1" s="15">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row>
    <row r="99" ht="15" customHeight="1" s="15">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row>
    <row r="100" ht="15" customHeight="1" s="15">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row>
    <row r="101" ht="15" customHeight="1" s="15">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row>
    <row r="102" ht="15" customHeight="1" s="15">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row>
    <row r="103" ht="15" customHeight="1" s="15">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row>
    <row r="104" ht="15" customHeight="1" s="15">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row>
    <row r="105" ht="15" customHeight="1" s="15">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row>
    <row r="106" ht="15" customHeight="1" s="15">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row>
    <row r="107" ht="15" customHeight="1" s="15">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row>
    <row r="108" ht="15" customHeight="1" s="15">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row>
    <row r="109" ht="15" customHeight="1" s="15">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row>
    <row r="110" ht="15" customHeight="1" s="15">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row>
    <row r="111" ht="15" customHeight="1" s="15">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row>
    <row r="112" ht="15" customHeight="1" s="15">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row>
    <row r="113" ht="15" customHeight="1" s="15">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row>
    <row r="114" ht="15" customHeight="1" s="15">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row>
    <row r="115" ht="15" customHeight="1" s="15">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row>
    <row r="116" ht="15" customHeight="1" s="15">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row>
    <row r="117" ht="15" customHeight="1" s="15">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row>
    <row r="118" ht="15" customHeight="1" s="15">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row>
    <row r="119" ht="15" customHeight="1" s="15">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row>
    <row r="120" ht="15" customHeight="1" s="15">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row>
    <row r="121" ht="15" customHeight="1" s="15">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row>
    <row r="122" ht="15" customHeight="1" s="15">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row>
    <row r="123" ht="15" customHeight="1" s="15">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row>
    <row r="124" ht="15" customHeight="1" s="15">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row>
    <row r="125" ht="15" customHeight="1" s="15">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row>
    <row r="126" ht="15" customHeight="1" s="15">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row>
    <row r="127" ht="15" customHeight="1" s="15">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row>
    <row r="128" ht="15" customHeight="1" s="15">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row>
    <row r="129" ht="15" customHeight="1" s="15">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row>
    <row r="130" ht="15" customHeight="1" s="15">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row>
    <row r="131" ht="15" customHeight="1" s="15">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row>
    <row r="132" ht="15" customHeight="1" s="15">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row>
    <row r="133" ht="15" customHeight="1" s="15">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row>
    <row r="134" ht="15" customHeight="1" s="15">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row>
    <row r="135" ht="15" customHeight="1" s="15">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row>
    <row r="136" ht="15" customHeight="1" s="15">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row>
    <row r="137" ht="15" customHeight="1" s="15">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row>
    <row r="138" ht="15" customHeight="1" s="15">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row>
    <row r="139" ht="15" customHeight="1" s="15">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row>
    <row r="140" ht="15" customHeight="1" s="15">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row>
    <row r="141" ht="15" customHeight="1" s="15">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row>
    <row r="142" ht="15" customHeight="1" s="15">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row>
    <row r="143" ht="15" customHeight="1" s="15">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row>
    <row r="144" ht="15" customHeight="1" s="15">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row>
    <row r="145" ht="15" customHeight="1" s="15">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row>
    <row r="146" ht="15" customHeight="1" s="15">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row>
    <row r="147" ht="15" customHeight="1" s="15">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row>
    <row r="148" ht="15" customHeight="1" s="15">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row>
    <row r="149" ht="15" customHeight="1" s="15">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row>
    <row r="150" ht="15" customHeight="1" s="15">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row>
    <row r="151" ht="15" customHeight="1" s="15">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row>
    <row r="152" ht="15" customHeight="1" s="15">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row>
    <row r="153" ht="15" customHeight="1" s="15">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row>
    <row r="154" ht="15" customHeight="1" s="15">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row>
    <row r="155" ht="15" customHeight="1" s="15">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row>
    <row r="156" ht="15" customHeight="1" s="15">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row>
    <row r="157" ht="15" customHeight="1" s="15">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row>
    <row r="158" ht="15" customHeight="1" s="15">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row>
    <row r="159" ht="15" customHeight="1" s="15">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row>
    <row r="160" ht="15" customHeight="1" s="15">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row>
    <row r="161" ht="15" customHeight="1" s="15">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row>
    <row r="162" ht="15" customHeight="1" s="15">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row>
    <row r="163" ht="15" customHeight="1" s="15">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row>
    <row r="164" ht="15" customHeight="1" s="15">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row>
    <row r="165" ht="15" customHeight="1" s="15">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row>
    <row r="166" ht="15" customHeight="1" s="15">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row>
    <row r="167" ht="15" customHeight="1" s="15">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row>
    <row r="168" ht="15" customHeight="1" s="15">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row>
    <row r="169" ht="15" customHeight="1" s="15">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row>
    <row r="170" ht="15" customHeight="1" s="15">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row>
    <row r="171" ht="15" customHeight="1" s="15">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row>
    <row r="172" ht="15" customHeight="1" s="15">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row>
    <row r="173" ht="15" customHeight="1" s="15">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row>
    <row r="174" ht="15" customHeight="1" s="15">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row>
    <row r="175" ht="15" customHeight="1" s="15">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row>
    <row r="176" ht="15" customHeight="1" s="15">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row>
    <row r="177" ht="15" customHeight="1" s="15">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row>
    <row r="178" ht="15" customHeight="1" s="15">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row>
    <row r="179" ht="15" customHeight="1" s="15">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row>
    <row r="180" ht="15" customHeight="1" s="15">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row>
    <row r="181" ht="15" customHeight="1" s="15">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row>
    <row r="182" ht="15" customHeight="1" s="15">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row>
    <row r="183" ht="15" customHeight="1" s="15">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row>
    <row r="184" ht="15" customHeight="1" s="15">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row>
    <row r="185" ht="15" customHeight="1" s="15">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row>
    <row r="186" ht="15" customHeight="1" s="15">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row>
    <row r="187" ht="15" customHeight="1" s="15">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row>
    <row r="188" ht="15" customHeight="1" s="15">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row>
    <row r="189" ht="15" customHeight="1" s="15">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row>
    <row r="190" ht="15" customHeight="1" s="15">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row>
    <row r="191" ht="15" customHeight="1" s="15">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row>
    <row r="192" ht="15" customHeight="1" s="15">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row>
    <row r="193" ht="15" customHeight="1" s="15">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row>
    <row r="194" ht="15" customHeight="1" s="15">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row>
    <row r="195" ht="15" customHeight="1" s="15">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row>
    <row r="196" ht="15" customHeight="1" s="15">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row>
    <row r="197" ht="15" customHeight="1" s="15">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row>
    <row r="198" ht="15" customHeight="1" s="15">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row>
    <row r="199" ht="15" customHeight="1" s="15">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row>
    <row r="200" ht="15" customHeight="1" s="15">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row>
    <row r="201" ht="15" customHeight="1" s="15">
      <c r="A201" s="17" t="n"/>
      <c r="B201" s="17" t="n"/>
      <c r="C201" s="17" t="n"/>
      <c r="D201" s="17" t="n"/>
      <c r="E201" s="17" t="n"/>
      <c r="F201" s="17" t="n"/>
      <c r="G201" s="17" t="n"/>
      <c r="H201" s="17" t="n"/>
      <c r="I201" s="17" t="n"/>
      <c r="J201" s="17" t="n"/>
      <c r="K201" s="17" t="n"/>
      <c r="L201" s="17" t="n"/>
      <c r="M201" s="17" t="n"/>
      <c r="N201" s="17" t="n"/>
      <c r="O201" s="17" t="n"/>
      <c r="P201" s="17" t="n"/>
      <c r="Q201" s="17" t="n"/>
      <c r="R201" s="17" t="n"/>
      <c r="S201" s="17" t="n"/>
      <c r="T201" s="17" t="n"/>
      <c r="U201" s="17" t="n"/>
      <c r="V201" s="17" t="n"/>
      <c r="W201" s="17" t="n"/>
      <c r="X201" s="17" t="n"/>
      <c r="Y201" s="17" t="n"/>
      <c r="Z201" s="17" t="n"/>
    </row>
    <row r="202" ht="15" customHeight="1" s="15">
      <c r="A202" s="17" t="n"/>
      <c r="B202" s="17" t="n"/>
      <c r="C202" s="17" t="n"/>
      <c r="D202" s="17" t="n"/>
      <c r="E202" s="17" t="n"/>
      <c r="F202" s="17" t="n"/>
      <c r="G202" s="17" t="n"/>
      <c r="H202" s="17" t="n"/>
      <c r="I202" s="17" t="n"/>
      <c r="J202" s="17" t="n"/>
      <c r="K202" s="17" t="n"/>
      <c r="L202" s="17" t="n"/>
      <c r="M202" s="17" t="n"/>
      <c r="N202" s="17" t="n"/>
      <c r="O202" s="17" t="n"/>
      <c r="P202" s="17" t="n"/>
      <c r="Q202" s="17" t="n"/>
      <c r="R202" s="17" t="n"/>
      <c r="S202" s="17" t="n"/>
      <c r="T202" s="17" t="n"/>
      <c r="U202" s="17" t="n"/>
      <c r="V202" s="17" t="n"/>
      <c r="W202" s="17" t="n"/>
      <c r="X202" s="17" t="n"/>
      <c r="Y202" s="17" t="n"/>
      <c r="Z202" s="17" t="n"/>
    </row>
    <row r="203" ht="15" customHeight="1" s="15">
      <c r="A203" s="17" t="n"/>
      <c r="B203" s="17" t="n"/>
      <c r="C203" s="17" t="n"/>
      <c r="D203" s="17" t="n"/>
      <c r="E203" s="17" t="n"/>
      <c r="F203" s="17" t="n"/>
      <c r="G203" s="17" t="n"/>
      <c r="H203" s="17" t="n"/>
      <c r="I203" s="17" t="n"/>
      <c r="J203" s="17" t="n"/>
      <c r="K203" s="17" t="n"/>
      <c r="L203" s="17" t="n"/>
      <c r="M203" s="17" t="n"/>
      <c r="N203" s="17" t="n"/>
      <c r="O203" s="17" t="n"/>
      <c r="P203" s="17" t="n"/>
      <c r="Q203" s="17" t="n"/>
      <c r="R203" s="17" t="n"/>
      <c r="S203" s="17" t="n"/>
      <c r="T203" s="17" t="n"/>
      <c r="U203" s="17" t="n"/>
      <c r="V203" s="17" t="n"/>
      <c r="W203" s="17" t="n"/>
      <c r="X203" s="17" t="n"/>
      <c r="Y203" s="17" t="n"/>
      <c r="Z203" s="17" t="n"/>
    </row>
  </sheetData>
  <mergeCells count="17">
    <mergeCell ref="A9:H9"/>
    <mergeCell ref="A4:H4"/>
    <mergeCell ref="C32:H32"/>
    <mergeCell ref="C33:H33"/>
    <mergeCell ref="A30:H30"/>
    <mergeCell ref="E6:F7"/>
    <mergeCell ref="C6:D7"/>
    <mergeCell ref="G6:H7"/>
    <mergeCell ref="A2:H2"/>
    <mergeCell ref="C5:D5"/>
    <mergeCell ref="A5:B5"/>
    <mergeCell ref="G5:H5"/>
    <mergeCell ref="E5:F5"/>
    <mergeCell ref="A6:B7"/>
    <mergeCell ref="C31:H31"/>
    <mergeCell ref="A1:H1"/>
    <mergeCell ref="C34:H34"/>
  </mergeCells>
  <conditionalFormatting sqref="B11:B28">
    <cfRule type="containsText" rank="0" priority="2" equalAverage="0" operator="containsText" aboveAverage="0" dxfId="0" text="Critical" percent="0" bottom="0">
      <formula>NOT(ISERROR(SEARCH("Critical",B11)))</formula>
    </cfRule>
    <cfRule type="containsText" rank="0" priority="3" equalAverage="0" operator="containsText" aboveAverage="0" dxfId="1" text="High" percent="0" bottom="0">
      <formula>NOT(ISERROR(SEARCH("High",B11)))</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4472C4"/>
    <outlinePr summaryBelow="1" summaryRight="1"/>
    <pageSetUpPr fitToPage="0"/>
  </sheetPr>
  <dimension ref="A1:Z20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15" customWidth="1" style="14" min="1" max="1"/>
    <col width="32" customWidth="1" style="14" min="2" max="2"/>
    <col width="10" customWidth="1" style="14" min="3" max="3"/>
    <col width="23" customWidth="1" style="14" min="4" max="4"/>
    <col width="20" customWidth="1" style="14" min="5" max="5"/>
    <col width="21" customWidth="1" style="14" min="6" max="6"/>
    <col width="14" customWidth="1" style="14" min="7" max="7"/>
    <col width="25" customWidth="1" style="14" min="8" max="8"/>
    <col width="18" customWidth="1" style="14" min="9" max="9"/>
    <col width="16" customWidth="1" style="14" min="10" max="10"/>
    <col width="14" customWidth="1" style="14" min="11" max="11"/>
    <col width="12" customWidth="1" style="14" min="12" max="12"/>
    <col width="42" customWidth="1" style="14" min="13" max="13"/>
    <col width="36" customWidth="1" style="14" min="14" max="14"/>
    <col width="42" customWidth="1" style="14" min="15" max="16"/>
  </cols>
  <sheetData>
    <row r="1" ht="37.5" customHeight="1" s="15">
      <c r="A1" s="16" t="inlineStr">
        <is>
          <t>Controlled documents</t>
        </is>
      </c>
      <c r="Q1" s="17" t="n"/>
      <c r="R1" s="17" t="n"/>
      <c r="S1" s="17" t="n"/>
      <c r="T1" s="17" t="n"/>
      <c r="U1" s="17" t="n"/>
      <c r="V1" s="17" t="n"/>
      <c r="W1" s="17" t="n"/>
      <c r="X1" s="17" t="n"/>
      <c r="Y1" s="17" t="n"/>
      <c r="Z1" s="17" t="n"/>
    </row>
    <row r="2" ht="33.75" customHeight="1" s="15">
      <c r="A2" s="18" t="inlineStr">
        <is>
          <t>Current authorities only. Historical and superseded versions are excluded from this working baseline. Filter by module or any of the four independent status dimensions.</t>
        </is>
      </c>
      <c r="Q2" s="17" t="n"/>
      <c r="R2" s="17" t="n"/>
      <c r="S2" s="17" t="n"/>
      <c r="T2" s="17" t="n"/>
      <c r="U2" s="17" t="n"/>
      <c r="V2" s="17" t="n"/>
      <c r="W2" s="17" t="n"/>
      <c r="X2" s="17" t="n"/>
      <c r="Y2" s="17" t="n"/>
      <c r="Z2" s="17" t="n"/>
    </row>
    <row r="3" ht="15" customHeight="1" s="15">
      <c r="A3" s="17" t="n"/>
      <c r="B3" s="17" t="n"/>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ht="15" customHeight="1" s="15">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row>
    <row r="5" ht="36" customHeight="1" s="15">
      <c r="A5" s="32" t="inlineStr">
        <is>
          <t>Document ID</t>
        </is>
      </c>
      <c r="B5" s="32" t="inlineStr">
        <is>
          <t>Title</t>
        </is>
      </c>
      <c r="C5" s="32" t="inlineStr">
        <is>
          <t>Version</t>
        </is>
      </c>
      <c r="D5" s="32" t="inlineStr">
        <is>
          <t>Module</t>
        </is>
      </c>
      <c r="E5" s="32" t="inlineStr">
        <is>
          <t>Category</t>
        </is>
      </c>
      <c r="F5" s="32" t="inlineStr">
        <is>
          <t>Requirement status</t>
        </is>
      </c>
      <c r="G5" s="32" t="inlineStr">
        <is>
          <t>Approval date</t>
        </is>
      </c>
      <c r="H5" s="32" t="inlineStr">
        <is>
          <t>Supersedes / basis</t>
        </is>
      </c>
      <c r="I5" s="32" t="inlineStr">
        <is>
          <t>Implementation</t>
        </is>
      </c>
      <c r="J5" s="32" t="inlineStr">
        <is>
          <t>Verification</t>
        </is>
      </c>
      <c r="K5" s="32" t="inlineStr">
        <is>
          <t>Release</t>
        </is>
      </c>
      <c r="L5" s="32" t="inlineStr">
        <is>
          <t>Normative</t>
        </is>
      </c>
      <c r="M5" s="32" t="inlineStr">
        <is>
          <t>Scope</t>
        </is>
      </c>
      <c r="N5" s="32" t="inlineStr">
        <is>
          <t>Dependencies</t>
        </is>
      </c>
      <c r="O5" s="32" t="inlineStr">
        <is>
          <t>Required action</t>
        </is>
      </c>
      <c r="P5" s="32" t="inlineStr">
        <is>
          <t>Source</t>
        </is>
      </c>
      <c r="Q5" s="17" t="n"/>
      <c r="R5" s="17" t="n"/>
      <c r="S5" s="17" t="n"/>
      <c r="T5" s="17" t="n"/>
      <c r="U5" s="17" t="n"/>
      <c r="V5" s="17" t="n"/>
      <c r="W5" s="17" t="n"/>
      <c r="X5" s="17" t="n"/>
      <c r="Y5" s="17" t="n"/>
      <c r="Z5" s="17" t="n"/>
    </row>
    <row r="6" ht="43.5" customHeight="1" s="15">
      <c r="A6" s="17" t="inlineStr">
        <is>
          <t>STR-CHG-001</t>
        </is>
      </c>
      <c r="B6" s="27" t="inlineStr">
        <is>
          <t>Clean Strategy Alignment</t>
        </is>
      </c>
      <c r="C6" s="17" t="inlineStr">
        <is>
          <t>1.8</t>
        </is>
      </c>
      <c r="D6" s="27" t="inlineStr">
        <is>
          <t>Strategy Alignment</t>
        </is>
      </c>
      <c r="E6" s="27" t="inlineStr">
        <is>
          <t>Module requirements</t>
        </is>
      </c>
      <c r="F6" s="27" t="inlineStr">
        <is>
          <t>Approved requirement</t>
        </is>
      </c>
      <c r="G6" s="33" t="n">
        <v>46278</v>
      </c>
      <c r="H6" s="27" t="inlineStr">
        <is>
          <t>v1.7 and earlier</t>
        </is>
      </c>
      <c r="I6" s="27" t="inlineStr">
        <is>
          <t>Not evidenced</t>
        </is>
      </c>
      <c r="J6" s="27" t="inlineStr">
        <is>
          <t>Not evidenced</t>
        </is>
      </c>
      <c r="K6" s="27" t="inlineStr">
        <is>
          <t>Not applicable</t>
        </is>
      </c>
      <c r="L6" s="17" t="inlineStr">
        <is>
          <t>Yes</t>
        </is>
      </c>
      <c r="M6" s="27" t="inlineStr">
        <is>
          <t>Strategy objectives and accepted alignment evidence consumed by Planning.</t>
        </is>
      </c>
      <c r="N6" s="27" t="inlineStr">
        <is>
          <t>KT-STD-001; AUTH-ADR-001</t>
        </is>
      </c>
      <c r="O6" s="27" t="inlineStr">
        <is>
          <t>Retain as current controlled baseline.</t>
        </is>
      </c>
      <c r="P6" s="27" t="inlineStr">
        <is>
          <t>https://chatgpt.com/api/library/files/libfile_f5502a30807c8191b8d3f2910b96a9dc/download</t>
        </is>
      </c>
      <c r="Q6" s="17" t="n"/>
      <c r="R6" s="17" t="n"/>
      <c r="S6" s="17" t="n"/>
      <c r="T6" s="17" t="n"/>
      <c r="U6" s="17" t="n"/>
      <c r="V6" s="17" t="n"/>
      <c r="W6" s="17" t="n"/>
      <c r="X6" s="17" t="n"/>
      <c r="Y6" s="17" t="n"/>
      <c r="Z6" s="17" t="n"/>
    </row>
    <row r="7" ht="43.5" customHeight="1" s="15">
      <c r="A7" s="17" t="inlineStr">
        <is>
          <t>BUD-CHG-001</t>
        </is>
      </c>
      <c r="B7" s="27" t="inlineStr">
        <is>
          <t>Clean Budget and Funding</t>
        </is>
      </c>
      <c r="C7" s="17" t="inlineStr">
        <is>
          <t>1.11</t>
        </is>
      </c>
      <c r="D7" s="27" t="inlineStr">
        <is>
          <t>Budget and Funding</t>
        </is>
      </c>
      <c r="E7" s="27" t="inlineStr">
        <is>
          <t>Module requirements</t>
        </is>
      </c>
      <c r="F7" s="27" t="inlineStr">
        <is>
          <t>Approved requirement</t>
        </is>
      </c>
      <c r="G7" s="33" t="n">
        <v>46290</v>
      </c>
      <c r="H7" s="27" t="inlineStr">
        <is>
          <t>v1.10 approved 23 September 2026; v1.9 and earlier</t>
        </is>
      </c>
      <c r="I7" s="27" t="inlineStr">
        <is>
          <t>Not evidenced</t>
        </is>
      </c>
      <c r="J7" s="27" t="inlineStr">
        <is>
          <t>Not evidenced</t>
        </is>
      </c>
      <c r="K7" s="27" t="inlineStr">
        <is>
          <t>Not applicable</t>
        </is>
      </c>
      <c r="L7" s="17" t="inlineStr">
        <is>
          <t>Yes</t>
        </is>
      </c>
      <c r="M7" s="27" t="inlineStr">
        <is>
          <t>Funding ceilings, affordability, reservations and commitments, plus the Budget-owned receiving side of a Planning budget revision request. Budget remains separate from the statutory APP reservation denominator.</t>
        </is>
      </c>
      <c r="N7" s="27" t="inlineStr">
        <is>
          <t>PLN-CHG-001 v1.27; LAW-REG-001 v1.2; KT-STD-001 v1.8</t>
        </is>
      </c>
      <c r="O7" s="27" t="inlineStr">
        <is>
          <t>Implement the budget revision request receive, decline, withdraw and outcome contracts without treating the request as a revision, reservation or amount change.</t>
        </is>
      </c>
      <c r="P7" s="27" t="inlineStr">
        <is>
          <t>https://chatgpt.com/api/library/files/libfile_9ee7baefbc088191af5a27ce1d7f7aff/download</t>
        </is>
      </c>
      <c r="Q7" s="17" t="n"/>
      <c r="R7" s="17" t="n"/>
      <c r="S7" s="17" t="n"/>
      <c r="T7" s="17" t="n"/>
      <c r="U7" s="17" t="n"/>
      <c r="V7" s="17" t="n"/>
      <c r="W7" s="17" t="n"/>
      <c r="X7" s="17" t="n"/>
      <c r="Y7" s="17" t="n"/>
      <c r="Z7" s="17" t="n"/>
    </row>
    <row r="8" ht="43.5" customHeight="1" s="15">
      <c r="A8" s="17" t="inlineStr">
        <is>
          <t>NDS-CHG-001</t>
        </is>
      </c>
      <c r="B8" s="27" t="inlineStr">
        <is>
          <t>Clean Departmental Needs</t>
        </is>
      </c>
      <c r="C8" s="17" t="inlineStr">
        <is>
          <t>1.14</t>
        </is>
      </c>
      <c r="D8" s="27" t="inlineStr">
        <is>
          <t>Departmental Needs</t>
        </is>
      </c>
      <c r="E8" s="27" t="inlineStr">
        <is>
          <t>Module requirements</t>
        </is>
      </c>
      <c r="F8" s="27" t="inlineStr">
        <is>
          <t>Approved requirement</t>
        </is>
      </c>
      <c r="G8" s="33" t="n">
        <v>46286</v>
      </c>
      <c r="H8" s="27" t="inlineStr">
        <is>
          <t>v1.13 and earlier</t>
        </is>
      </c>
      <c r="I8" s="27" t="inlineStr">
        <is>
          <t>Not evidenced</t>
        </is>
      </c>
      <c r="J8" s="27" t="inlineStr">
        <is>
          <t>Not evidenced</t>
        </is>
      </c>
      <c r="K8" s="27" t="inlineStr">
        <is>
          <t>Not applicable</t>
        </is>
      </c>
      <c r="L8" s="17" t="inlineStr">
        <is>
          <t>Yes</t>
        </is>
      </c>
      <c r="M8" s="27" t="inlineStr">
        <is>
          <t>Simple need capture, review and acceptance; consultation is optional and is not a gate.</t>
        </is>
      </c>
      <c r="N8" s="27" t="inlineStr">
        <is>
          <t>PLN-CHG-001; KT-STD-001</t>
        </is>
      </c>
      <c r="O8" s="27" t="inlineStr">
        <is>
          <t>Retain as current controlled baseline.</t>
        </is>
      </c>
      <c r="P8" s="27" t="inlineStr">
        <is>
          <t>https://chatgpt.com/api/library/files/libfile_43204a8a82548191a05d0c20cabf0283/download</t>
        </is>
      </c>
      <c r="Q8" s="17" t="n"/>
      <c r="R8" s="17" t="n"/>
      <c r="S8" s="17" t="n"/>
      <c r="T8" s="17" t="n"/>
      <c r="U8" s="17" t="n"/>
      <c r="V8" s="17" t="n"/>
      <c r="W8" s="17" t="n"/>
      <c r="X8" s="17" t="n"/>
      <c r="Y8" s="17" t="n"/>
      <c r="Z8" s="17" t="n"/>
    </row>
    <row r="9" ht="43.5" customHeight="1" s="15">
      <c r="A9" s="17" t="inlineStr">
        <is>
          <t>PLN-CHG-001</t>
        </is>
      </c>
      <c r="B9" s="27" t="inlineStr">
        <is>
          <t>Clean Procurement Planning</t>
        </is>
      </c>
      <c r="C9" s="17" t="inlineStr">
        <is>
          <t>1.27</t>
        </is>
      </c>
      <c r="D9" s="27" t="inlineStr">
        <is>
          <t>Procurement Planning</t>
        </is>
      </c>
      <c r="E9" s="27" t="inlineStr">
        <is>
          <t>Module requirements</t>
        </is>
      </c>
      <c r="F9" s="27" t="inlineStr">
        <is>
          <t>Approved requirement</t>
        </is>
      </c>
      <c r="G9" s="33" t="n">
        <v>46290</v>
      </c>
      <c r="H9" s="27" t="inlineStr">
        <is>
          <t>v1.26 approved 25 September 2026; v1.25 approved 23 September 2026; all earlier Planning specifications</t>
        </is>
      </c>
      <c r="I9" s="27" t="inlineStr">
        <is>
          <t>Not implemented</t>
        </is>
      </c>
      <c r="J9" s="27" t="inlineStr">
        <is>
          <t>Not evidenced</t>
        </is>
      </c>
      <c r="K9" s="27" t="inlineStr">
        <is>
          <t>Not applicable</t>
        </is>
      </c>
      <c r="L9" s="17" t="inlineStr">
        <is>
          <t>Yes</t>
        </is>
      </c>
      <c r="M9" s="27" t="inlineStr">
        <is>
          <t>Complete Planning authority including the current-complete-APP reservation denominator, next-step and journey contract, corrected funding-request blockers, Planning-side budget revision request, hand-off register and Purchase-ready-for-requisition item.</t>
        </is>
      </c>
      <c r="N9" s="27" t="inlineStr">
        <is>
          <t>STR-CHG-001 v1.8; BUD-CHG-001 v1.11; NDS-CHG-001 v1.14; CFG-CHG-002 v0.13+; REQ-CHG-001 v1.12; KT-STD-001 v1.8</t>
        </is>
      </c>
      <c r="O9" s="27" t="inlineStr">
        <is>
          <t>Implement the approved v1.27 runtime and design contracts, including blocker explanations, budget revision hand-off and no-dead-end acceptance.</t>
        </is>
      </c>
      <c r="P9" s="27" t="inlineStr">
        <is>
          <t>https://chatgpt.com/api/library/files/libfile_efd27d9b04ac8191bb06e17aef384d2e/download</t>
        </is>
      </c>
      <c r="Q9" s="17" t="n"/>
      <c r="R9" s="17" t="n"/>
      <c r="S9" s="17" t="n"/>
      <c r="T9" s="17" t="n"/>
      <c r="U9" s="17" t="n"/>
      <c r="V9" s="17" t="n"/>
      <c r="W9" s="17" t="n"/>
      <c r="X9" s="17" t="n"/>
      <c r="Y9" s="17" t="n"/>
      <c r="Z9" s="17" t="n"/>
    </row>
    <row r="10" ht="43.5" customHeight="1" s="15">
      <c r="A10" s="17" t="inlineStr">
        <is>
          <t>REQ-CHG-001</t>
        </is>
      </c>
      <c r="B10" s="27" t="inlineStr">
        <is>
          <t>Structured Procurement Requisitions</t>
        </is>
      </c>
      <c r="C10" s="17" t="inlineStr">
        <is>
          <t>1.12</t>
        </is>
      </c>
      <c r="D10" s="27" t="inlineStr">
        <is>
          <t>Procurement Requisitions</t>
        </is>
      </c>
      <c r="E10" s="27" t="inlineStr">
        <is>
          <t>Module requirements</t>
        </is>
      </c>
      <c r="F10" s="27" t="inlineStr">
        <is>
          <t>Approved requirement</t>
        </is>
      </c>
      <c r="G10" s="33" t="n">
        <v>46290</v>
      </c>
      <c r="H10" s="27" t="inlineStr">
        <is>
          <t>v1.11 approved 24 September 2026; v1.9 and earlier; v1.10 remains withdrawn</t>
        </is>
      </c>
      <c r="I10" s="27" t="inlineStr">
        <is>
          <t>Not evidenced</t>
        </is>
      </c>
      <c r="J10" s="27" t="inlineStr">
        <is>
          <t>Not evidenced</t>
        </is>
      </c>
      <c r="K10" s="27" t="inlineStr">
        <is>
          <t>Not applicable</t>
        </is>
      </c>
      <c r="L10" s="17" t="inlineStr">
        <is>
          <t>Yes</t>
        </is>
      </c>
      <c r="M10" s="27" t="inlineStr">
        <is>
          <t>Structured requisition preparation, Planning-created Purchase ready for requisition hand-off, Budget reservation at authorisation and authorised handoff to Tenders.</t>
        </is>
      </c>
      <c r="N10" s="27" t="inlineStr">
        <is>
          <t>PLN-CHG-001 v1.27; BUD-CHG-001 v1.11; TPR-CHG-001; STD-TPL-001; STD-STD-001 v1.1</t>
        </is>
      </c>
      <c r="O10" s="27" t="inlineStr">
        <is>
          <t>Implement the REQ-owned ready-to-start item and verify exact Planning, Budget and Tender contracts.</t>
        </is>
      </c>
      <c r="P10" s="27" t="inlineStr">
        <is>
          <t>https://chatgpt.com/api/library/files/libfile_7fc3b6d8360c8191b1156d352993f7c3/download</t>
        </is>
      </c>
      <c r="Q10" s="17" t="n"/>
      <c r="R10" s="17" t="n"/>
      <c r="S10" s="17" t="n"/>
      <c r="T10" s="17" t="n"/>
      <c r="U10" s="17" t="n"/>
      <c r="V10" s="17" t="n"/>
      <c r="W10" s="17" t="n"/>
      <c r="X10" s="17" t="n"/>
      <c r="Y10" s="17" t="n"/>
      <c r="Z10" s="17" t="n"/>
    </row>
    <row r="11" ht="43.5" customHeight="1" s="15">
      <c r="A11" s="17" t="inlineStr">
        <is>
          <t>CFG-CHG-002</t>
        </is>
      </c>
      <c r="B11" s="27" t="inlineStr">
        <is>
          <t>Site Configuration and System Setup</t>
        </is>
      </c>
      <c r="C11" s="17" t="inlineStr">
        <is>
          <t>0.16</t>
        </is>
      </c>
      <c r="D11" s="27" t="inlineStr">
        <is>
          <t>System Setup</t>
        </is>
      </c>
      <c r="E11" s="27" t="inlineStr">
        <is>
          <t>Module requirements</t>
        </is>
      </c>
      <c r="F11" s="27" t="inlineStr">
        <is>
          <t>Approved requirement</t>
        </is>
      </c>
      <c r="G11" s="33" t="n">
        <v>46296</v>
      </c>
      <c r="H11" s="27" t="inlineStr">
        <is>
          <t>v0.15; prior approved v0.13 retained</t>
        </is>
      </c>
      <c r="I11" s="27" t="inlineStr">
        <is>
          <t>Planned</t>
        </is>
      </c>
      <c r="J11" s="27" t="inlineStr">
        <is>
          <t>Not evidenced</t>
        </is>
      </c>
      <c r="K11" s="27" t="inlineStr">
        <is>
          <t>Not applicable</t>
        </is>
      </c>
      <c r="L11" s="17" t="inlineStr">
        <is>
          <t>Yes</t>
        </is>
      </c>
      <c r="M11" s="27" t="inlineStr">
        <is>
          <t>Site, responsibilities, procurement rules, schedules, STD Templates inspection and supplier portal operating settings.</t>
        </is>
      </c>
      <c r="N11" s="27" t="inlineStr">
        <is>
          <t>AUTH-ADR-001; PLN-CHG-001; TPR-CHG-001; BDS-CHG-001; STD-TPL-001</t>
        </is>
      </c>
      <c r="O11" s="27" t="inlineStr">
        <is>
          <t>Approved 1 October 2026. Implement and verify the approved contract; retain existing release gates and open substantive findings.</t>
        </is>
      </c>
      <c r="P11" s="27" t="inlineStr">
        <is>
          <t>https://chatgpt.com/api/library/files/libfile_e587a6e7587081918df85fee00004930/download</t>
        </is>
      </c>
      <c r="Q11" s="17" t="n"/>
      <c r="R11" s="17" t="n"/>
      <c r="S11" s="17" t="n"/>
      <c r="T11" s="17" t="n"/>
      <c r="U11" s="17" t="n"/>
      <c r="V11" s="17" t="n"/>
      <c r="W11" s="17" t="n"/>
      <c r="X11" s="17" t="n"/>
      <c r="Y11" s="17" t="n"/>
      <c r="Z11" s="17" t="n"/>
    </row>
    <row r="12" ht="43.5" customHeight="1" s="15">
      <c r="A12" s="17" t="inlineStr">
        <is>
          <t>TPR-CHG-001</t>
        </is>
      </c>
      <c r="B12" s="27" t="inlineStr">
        <is>
          <t>Tenders</t>
        </is>
      </c>
      <c r="C12" s="17" t="inlineStr">
        <is>
          <t>0.15</t>
        </is>
      </c>
      <c r="D12" s="27" t="inlineStr">
        <is>
          <t>Tender Preparation and Publication</t>
        </is>
      </c>
      <c r="E12" s="27" t="inlineStr">
        <is>
          <t>Module requirements</t>
        </is>
      </c>
      <c r="F12" s="27" t="inlineStr">
        <is>
          <t>Approved requirement</t>
        </is>
      </c>
      <c r="G12" s="33" t="n">
        <v>46296</v>
      </c>
      <c r="H12" s="27" t="inlineStr">
        <is>
          <t>v0.13; prior approvals retained</t>
        </is>
      </c>
      <c r="I12" s="27" t="inlineStr">
        <is>
          <t>Planned</t>
        </is>
      </c>
      <c r="J12" s="27" t="inlineStr">
        <is>
          <t>Not evidenced</t>
        </is>
      </c>
      <c r="K12" s="27" t="inlineStr">
        <is>
          <t>Not applicable</t>
        </is>
      </c>
      <c r="L12" s="17" t="inlineStr">
        <is>
          <t>Yes</t>
        </is>
      </c>
      <c r="M12" s="27" t="inlineStr">
        <is>
          <t>Approved Tender preparation, approval, publication, clarifications, addenda, cancellation, exact bound STD-release lifecycle including published Superseded/Withdrawn behavior, and KT-STD-001 v1.8 journey guidance.</t>
        </is>
      </c>
      <c r="N12" s="27" t="inlineStr">
        <is>
          <t>REQ-CHG-001 v1.12; CFG-CHG-002 v0.16; STD-TPL-001 v0.10; STD-TPL-IMP-001 v1.1; BDS-CHG-001 v0.8; BOP-CHG-001 v0.10 and PRC-CHG-001 v0.9 proposed for post-close cancellation; Award-status owner pending</t>
        </is>
      </c>
      <c r="O12" s="27" t="inlineStr">
        <is>
          <t>Approved 1 October 2026. Implement and verify the approved contract; retain existing release gates and open substantive findings.</t>
        </is>
      </c>
      <c r="P12" s="27" t="inlineStr">
        <is>
          <t>https://chatgpt.com/api/library/files/libfile_000ff3f0efe881918a374f6f15819fbb/download</t>
        </is>
      </c>
      <c r="Q12" s="17" t="n"/>
      <c r="R12" s="17" t="n"/>
      <c r="S12" s="17" t="n"/>
      <c r="T12" s="17" t="n"/>
      <c r="U12" s="17" t="n"/>
      <c r="V12" s="17" t="n"/>
      <c r="W12" s="17" t="n"/>
      <c r="X12" s="17" t="n"/>
      <c r="Y12" s="17" t="n"/>
      <c r="Z12" s="17" t="n"/>
    </row>
    <row r="13" ht="43.5" customHeight="1" s="15">
      <c r="A13" s="17" t="inlineStr">
        <is>
          <t>BDS-CHG-001</t>
        </is>
      </c>
      <c r="B13" s="27" t="inlineStr">
        <is>
          <t>Supplier Portal and Electronic Bid Submission</t>
        </is>
      </c>
      <c r="C13" s="17" t="inlineStr">
        <is>
          <t>0.10</t>
        </is>
      </c>
      <c r="D13" s="27" t="inlineStr">
        <is>
          <t>Supplier/Bidder Workspace and Bid Submission</t>
        </is>
      </c>
      <c r="E13" s="27" t="inlineStr">
        <is>
          <t>Module requirements</t>
        </is>
      </c>
      <c r="F13" s="27" t="inlineStr">
        <is>
          <t>Approved requirement</t>
        </is>
      </c>
      <c r="G13" s="33" t="n">
        <v>46296</v>
      </c>
      <c r="H13" s="27" t="inlineStr">
        <is>
          <t>v0.8; prior approvals retained</t>
        </is>
      </c>
      <c r="I13" s="27" t="inlineStr">
        <is>
          <t>In progress</t>
        </is>
      </c>
      <c r="J13" s="27" t="inlineStr">
        <is>
          <t>Pending</t>
        </is>
      </c>
      <c r="K13" s="27" t="inlineStr">
        <is>
          <t>Blocked</t>
        </is>
      </c>
      <c r="L13" s="17" t="inlineStr">
        <is>
          <t>Yes</t>
        </is>
      </c>
      <c r="M13" s="27" t="inlineStr">
        <is>
          <t>Public discovery, supplier Account, structured Goods/IT bid preparation, signature, receipt, replacement and sealed Bid Opening handoff, with actor-specific guidance and bound STD-release controls.</t>
        </is>
      </c>
      <c r="N13" s="27" t="inlineStr">
        <is>
          <t>TPR-CHG-001 v0.13; STD-TPL-001 v0.10; STD-TPL-IMP-001 v1.1; CFG-CHG-002 v0.16; AUTH-ADR-001 v1.10; KT-STD-001 v1.8; G1-REG-001 v1.1</t>
        </is>
      </c>
      <c r="O13" s="27" t="inlineStr">
        <is>
          <t>Approved 1 October 2026. Implement and verify the approved contract; retain existing release gates and open substantive findings.</t>
        </is>
      </c>
      <c r="P13" s="27" t="inlineStr">
        <is>
          <t>https://chatgpt.com/api/library/files/libfile_f8038abb4ed08191983a122d03a31c1f/download</t>
        </is>
      </c>
      <c r="Q13" s="17" t="n"/>
      <c r="R13" s="17" t="n"/>
      <c r="S13" s="17" t="n"/>
      <c r="T13" s="17" t="n"/>
      <c r="U13" s="17" t="n"/>
      <c r="V13" s="17" t="n"/>
      <c r="W13" s="17" t="n"/>
      <c r="X13" s="17" t="n"/>
      <c r="Y13" s="17" t="n"/>
      <c r="Z13" s="17" t="n"/>
    </row>
    <row r="14" ht="43.5" customHeight="1" s="15">
      <c r="A14" s="17" t="inlineStr">
        <is>
          <t>STD-TPL-001</t>
        </is>
      </c>
      <c r="B14" s="27" t="inlineStr">
        <is>
          <t>IT Equipment Tender Template Curation and Release Pack</t>
        </is>
      </c>
      <c r="C14" s="17" t="inlineStr">
        <is>
          <t>0.15</t>
        </is>
      </c>
      <c r="D14" s="27" t="inlineStr">
        <is>
          <t>STD Templates</t>
        </is>
      </c>
      <c r="E14" s="27" t="inlineStr">
        <is>
          <t>Template standard</t>
        </is>
      </c>
      <c r="F14" s="27" t="inlineStr">
        <is>
          <t>Approved requirement</t>
        </is>
      </c>
      <c r="G14" s="33" t="n">
        <v>46298</v>
      </c>
      <c r="H14" s="27" t="inlineStr">
        <is>
          <t>v0.14 proposed 2 October 2026 and never approved on its own (v0.15 carries it forward); v0.13 approved 27 September 2026; v0.12 approved 26 September 2026 (its approval also approved the v0.11 content it carried forward; v0.11 was not approved separately); v0.10 approved 26 September 2026; v0.9 and earlier</t>
        </is>
      </c>
      <c r="I14" s="27" t="inlineStr">
        <is>
          <t>Planned</t>
        </is>
      </c>
      <c r="J14" s="27" t="inlineStr">
        <is>
          <t>Pending</t>
        </is>
      </c>
      <c r="K14" s="27" t="inlineStr">
        <is>
          <t>Candidate</t>
        </is>
      </c>
      <c r="L14" s="17" t="inlineStr">
        <is>
          <t>Yes</t>
        </is>
      </c>
      <c r="M14" s="27" t="inlineStr">
        <is>
          <t>Controlled template content and construction, installed integrity, administrative inspection and Administrator On/Off switch for new Tender binding. v0.12 and v0.13 add, from template release 1.2, the first supplier task wording, supplied values, label parameters, the joint-venture member composition, the tender security amount and expiry response and per-obligation warranty/support responses. v0.14 and v0.15 add, from template releases 1.3 and 1.4, content-quality checks and the official wording, the table control, and each Tenderer's business profile held on its supplier Account and copied into each bid per entity.</t>
        </is>
      </c>
      <c r="N14" s="27" t="inlineStr">
        <is>
          <t>KT-STD-001 v1.8; REQ-CHG-001 v1.12; TPR-CHG-001 v0.11; BDS-CHG-001 v0.7 and v0.8; STD-TPL-IMP-001 v1.0; CFG-CHG-002 v0.16 (as cited in v0.13; see AUD-022)</t>
        </is>
      </c>
      <c r="O14" s="27" t="inlineStr">
        <is>
          <t>Approved v0.15 governs from 3 October 2026 (Project Owner: "Mark template specification v0.15 as approved, and commit all pending work"); it carries v0.14 forward and specifies release 1.4 (renderer 1.2.0), which is built, installed On and switched on at the dev and test sites. Approval does not install or change a release and is not evidence of implementation or verification. (Before 3 October 2026 read: Approved v0.13 governs (register corrected 2 October 2026 from v0.10; AUD-021). Release 1.2 shows Confidential Business Questionnaire defects found in QA on 2 October 2026; Parts A and B are to be made in successor versions (DEC-035). v0.14 adds the template walkthrough and validator checks 22 and 23 (DEC-036). (Before 2 October 2026 read: Finish and verify release 1.1 assets; install the compatible digest-matched bundle On by default or Off by deployment request. No separate manifest approval.))</t>
        </is>
      </c>
      <c r="P14" s="27" t="inlineStr">
        <is>
          <t>Repository: docs/mvp-1-r1/07_std_configuration/KenTender_STD-TPL-001_IT_Equipment_Tender_Template_Curation_and_Release_Pack_v0_15.md</t>
        </is>
      </c>
      <c r="Q14" s="17" t="n"/>
      <c r="R14" s="17" t="n"/>
      <c r="S14" s="17" t="n"/>
      <c r="T14" s="17" t="n"/>
      <c r="U14" s="17" t="n"/>
      <c r="V14" s="17" t="n"/>
      <c r="W14" s="17" t="n"/>
      <c r="X14" s="17" t="n"/>
      <c r="Y14" s="17" t="n"/>
      <c r="Z14" s="17" t="n"/>
    </row>
    <row r="15" ht="43.5" customHeight="1" s="15">
      <c r="A15" s="17" t="inlineStr">
        <is>
          <t>STD-TPL-IMP-001</t>
        </is>
      </c>
      <c r="B15" s="27" t="inlineStr">
        <is>
          <t>Installed STD Template Runtime</t>
        </is>
      </c>
      <c r="C15" s="17" t="inlineStr">
        <is>
          <t>1.1</t>
        </is>
      </c>
      <c r="D15" s="27" t="inlineStr">
        <is>
          <t>STD Templates</t>
        </is>
      </c>
      <c r="E15" s="27" t="inlineStr">
        <is>
          <t>Implementation authority</t>
        </is>
      </c>
      <c r="F15" s="27" t="inlineStr">
        <is>
          <t>Approved requirement</t>
        </is>
      </c>
      <c r="G15" s="33" t="n">
        <v>46291</v>
      </c>
      <c r="H15" s="27" t="inlineStr">
        <is>
          <t>v1.0 proposed but never approved; v0.2 historical</t>
        </is>
      </c>
      <c r="I15" s="27" t="inlineStr">
        <is>
          <t>Planned</t>
        </is>
      </c>
      <c r="J15" s="27" t="inlineStr">
        <is>
          <t>Not started</t>
        </is>
      </c>
      <c r="K15" s="27" t="inlineStr">
        <is>
          <t>Not applicable</t>
        </is>
      </c>
      <c r="L15" s="17" t="inlineStr">
        <is>
          <t>Yes</t>
        </is>
      </c>
      <c r="M15" s="27" t="inlineStr">
        <is>
          <t>Immutable installed-release runtime, verified installation, shared compiler, renderer adapters, inspection and deployment-only per-site On/Off switch.</t>
        </is>
      </c>
      <c r="N15" s="27" t="inlineStr">
        <is>
          <t>STD-TPL-001 v0.10; TPR-CHG-001 v0.12; BDS-CHG-001 v0.7; AUTH-ADR-001 v1.10; KT-STD-001 v1.8</t>
        </is>
      </c>
      <c r="O15" s="27" t="inlineStr">
        <is>
          <t>Implement approved v1.1; reconcile TPR, REQ, BDS and Gate 1 references to OD5. The bundle remains uninstalled and unverified.</t>
        </is>
      </c>
      <c r="P15" s="27" t="inlineStr">
        <is>
          <t>https://chatgpt.com/api/library/files/libfile_87bca073b1b081918cc5cefdff08adcc/download</t>
        </is>
      </c>
      <c r="Q15" s="17" t="n"/>
      <c r="R15" s="17" t="n"/>
      <c r="S15" s="17" t="n"/>
      <c r="T15" s="17" t="n"/>
      <c r="U15" s="17" t="n"/>
      <c r="V15" s="17" t="n"/>
      <c r="W15" s="17" t="n"/>
      <c r="X15" s="17" t="n"/>
      <c r="Y15" s="17" t="n"/>
      <c r="Z15" s="17" t="n"/>
    </row>
    <row r="16" ht="43.5" customHeight="1" s="15">
      <c r="A16" s="17" t="inlineStr">
        <is>
          <t>KT-STD-001</t>
        </is>
      </c>
      <c r="B16" s="27" t="inlineStr">
        <is>
          <t>Document, Design and Verification Standards</t>
        </is>
      </c>
      <c r="C16" s="17" t="inlineStr">
        <is>
          <t>1.14</t>
        </is>
      </c>
      <c r="D16" s="27" t="inlineStr">
        <is>
          <t>All</t>
        </is>
      </c>
      <c r="E16" s="27" t="inlineStr">
        <is>
          <t>Cross-cutting standard</t>
        </is>
      </c>
      <c r="F16" s="27" t="inlineStr">
        <is>
          <t>Approved requirement</t>
        </is>
      </c>
      <c r="G16" s="33" t="n">
        <v>46298</v>
      </c>
      <c r="H16" s="27" t="inlineStr">
        <is>
          <t>v1.13 and earlier</t>
        </is>
      </c>
      <c r="I16" s="27" t="inlineStr">
        <is>
          <t>Not applicable</t>
        </is>
      </c>
      <c r="J16" s="27" t="inlineStr">
        <is>
          <t>Passed</t>
        </is>
      </c>
      <c r="K16" s="27" t="inlineStr">
        <is>
          <t>Not applicable</t>
        </is>
      </c>
      <c r="L16" s="17" t="inlineStr">
        <is>
          <t>Yes</t>
        </is>
      </c>
      <c r="M16" s="27" t="inlineStr">
        <is>
          <t>Current cross-cutting standard, including plain language, minimum steps, Scheduled next step and actor/state/event conformance; v1.11 adds the §8.3 fixture actors Daniel Otieno (technical operator) and Jane Wanjiku (public observer), and v1.12 adds Nadia Kamau (release operator); retains earlier design and verification rules. v1.14 adds eight supplier people: Afya's Mary Wanjiku and David Ouma, and the people of Jirani, Pwani and Mlima.</t>
        </is>
      </c>
      <c r="N16" s="27" t="inlineStr">
        <is>
          <t>Workflow Guidance Standard; all controlled change documents</t>
        </is>
      </c>
      <c r="O16" s="27" t="inlineStr">
        <is>
          <t>Approved 3 October 2026 (Project Owner: "All docs approved."). Apply to future and revised contracts; use its registered actors, including the eight supplier people in §8.3. Repository file only (no library file).</t>
        </is>
      </c>
      <c r="P16" s="27" t="inlineStr">
        <is>
          <t>Repository: docs/mvp-1-r1/00_common/KenTender_KT-STD-001_Document_Design_and_Verification_Standards_v1_14.md</t>
        </is>
      </c>
      <c r="Q16" s="17" t="n"/>
      <c r="R16" s="17" t="n"/>
      <c r="S16" s="17" t="n"/>
      <c r="T16" s="17" t="n"/>
      <c r="U16" s="17" t="n"/>
      <c r="V16" s="17" t="n"/>
      <c r="W16" s="17" t="n"/>
      <c r="X16" s="17" t="n"/>
      <c r="Y16" s="17" t="n"/>
      <c r="Z16" s="17" t="n"/>
    </row>
    <row r="17" ht="43.5" customHeight="1" s="15">
      <c r="A17" s="17" t="inlineStr">
        <is>
          <t>AUTH-ADR-001</t>
        </is>
      </c>
      <c r="B17" s="27" t="inlineStr">
        <is>
          <t>Role-Bound Business Responsibility and Organisational Scope</t>
        </is>
      </c>
      <c r="C17" s="17" t="inlineStr">
        <is>
          <t>1.10</t>
        </is>
      </c>
      <c r="D17" s="27" t="inlineStr">
        <is>
          <t>Identity and Access</t>
        </is>
      </c>
      <c r="E17" s="27" t="inlineStr">
        <is>
          <t>Architecture decision record</t>
        </is>
      </c>
      <c r="F17" s="27" t="inlineStr">
        <is>
          <t>Approved requirement</t>
        </is>
      </c>
      <c r="G17" s="33" t="n">
        <v>46296</v>
      </c>
      <c r="H17" s="27" t="inlineStr">
        <is>
          <t>v1.9; prior approvals retained</t>
        </is>
      </c>
      <c r="I17" s="27" t="inlineStr">
        <is>
          <t>Not evidenced</t>
        </is>
      </c>
      <c r="J17" s="27" t="inlineStr">
        <is>
          <t>Not evidenced</t>
        </is>
      </c>
      <c r="K17" s="27" t="inlineStr">
        <is>
          <t>Not applicable</t>
        </is>
      </c>
      <c r="L17" s="17" t="inlineStr">
        <is>
          <t>Yes</t>
        </is>
      </c>
      <c r="M17" s="27" t="inlineStr">
        <is>
          <t>Approved v1.9 responsibility model plus bounded, non-authoritative STD-template inspection and concern access for Procurement Officer and HOPF.</t>
        </is>
      </c>
      <c r="N17" s="27" t="inlineStr">
        <is>
          <t>CFG-CHG-002 v0.16; STD-TPL-001 v0.10; all role-aware modules</t>
        </is>
      </c>
      <c r="O17" s="27" t="inlineStr">
        <is>
          <t>Approved 1 October 2026. Implement and verify the approved contract; retain existing release gates and open substantive findings.</t>
        </is>
      </c>
      <c r="P17" s="27" t="inlineStr">
        <is>
          <t>https://chatgpt.com/api/library/files/libfile_177096acafa48191a78718d3872b3d79/download</t>
        </is>
      </c>
      <c r="Q17" s="17" t="n"/>
      <c r="R17" s="17" t="n"/>
      <c r="S17" s="17" t="n"/>
      <c r="T17" s="17" t="n"/>
      <c r="U17" s="17" t="n"/>
      <c r="V17" s="17" t="n"/>
      <c r="W17" s="17" t="n"/>
      <c r="X17" s="17" t="n"/>
      <c r="Y17" s="17" t="n"/>
      <c r="Z17" s="17" t="n"/>
    </row>
    <row r="18" ht="43.5" customHeight="1" s="15">
      <c r="A18" s="17" t="inlineStr">
        <is>
          <t>LAW-REG-001</t>
        </is>
      </c>
      <c r="B18" s="27" t="inlineStr">
        <is>
          <t>Statutory Correction Register</t>
        </is>
      </c>
      <c r="C18" s="17" t="inlineStr">
        <is>
          <t>1.2</t>
        </is>
      </c>
      <c r="D18" s="27" t="inlineStr">
        <is>
          <t>Cross-cutting law</t>
        </is>
      </c>
      <c r="E18" s="27" t="inlineStr">
        <is>
          <t>Statutory register</t>
        </is>
      </c>
      <c r="F18" s="27" t="inlineStr">
        <is>
          <t>Approved requirement</t>
        </is>
      </c>
      <c r="G18" s="33" t="n">
        <v>46288</v>
      </c>
      <c r="H18" s="27" t="inlineStr">
        <is>
          <t>v1.1 where corrected</t>
        </is>
      </c>
      <c r="I18" s="27" t="inlineStr">
        <is>
          <t>Not applicable</t>
        </is>
      </c>
      <c r="J18" s="27" t="inlineStr">
        <is>
          <t>Passed</t>
        </is>
      </c>
      <c r="K18" s="27" t="inlineStr">
        <is>
          <t>Not applicable</t>
        </is>
      </c>
      <c r="L18" s="17" t="inlineStr">
        <is>
          <t>Yes</t>
        </is>
      </c>
      <c r="M18" s="27" t="inlineStr">
        <is>
          <t>Controlling legal corrections including the 30% reservation interpretation.</t>
        </is>
      </c>
      <c r="N18" s="27" t="inlineStr">
        <is>
          <t>BUD-CHG-001; PLN-CHG-001; REQ-CHG-001; TPR-CHG-001; BDS-CHG-001</t>
        </is>
      </c>
      <c r="O18" s="27" t="inlineStr">
        <is>
          <t>Use as the legal correction authority during implementation review.</t>
        </is>
      </c>
      <c r="P18" s="27" t="inlineStr">
        <is>
          <t>https://chatgpt.com/api/library/files/libfile_c19ced3db1288191b591bf4e43eb6573/download</t>
        </is>
      </c>
      <c r="Q18" s="17" t="n"/>
      <c r="R18" s="17" t="n"/>
      <c r="S18" s="17" t="n"/>
      <c r="T18" s="17" t="n"/>
      <c r="U18" s="17" t="n"/>
      <c r="V18" s="17" t="n"/>
      <c r="W18" s="17" t="n"/>
      <c r="X18" s="17" t="n"/>
      <c r="Y18" s="17" t="n"/>
      <c r="Z18" s="17" t="n"/>
    </row>
    <row r="19" ht="43.5" customHeight="1" s="15">
      <c r="A19" s="17" t="inlineStr">
        <is>
          <t>SEED-001</t>
        </is>
      </c>
      <c r="B19" s="27" t="inlineStr">
        <is>
          <t>Harmonized End-to-End Fixture</t>
        </is>
      </c>
      <c r="C19" s="17" t="inlineStr">
        <is>
          <t>1.3</t>
        </is>
      </c>
      <c r="D19" s="27" t="inlineStr">
        <is>
          <t>Cross-module</t>
        </is>
      </c>
      <c r="E19" s="27" t="inlineStr">
        <is>
          <t>Fixture standard</t>
        </is>
      </c>
      <c r="F19" s="27" t="inlineStr">
        <is>
          <t>Approved requirement</t>
        </is>
      </c>
      <c r="G19" s="33" t="n">
        <v>46277</v>
      </c>
      <c r="H19" s="27" t="inlineStr">
        <is>
          <t>v1.2 and earlier</t>
        </is>
      </c>
      <c r="I19" s="27" t="inlineStr">
        <is>
          <t>Not evidenced</t>
        </is>
      </c>
      <c r="J19" s="27" t="inlineStr">
        <is>
          <t>Pending</t>
        </is>
      </c>
      <c r="K19" s="27" t="inlineStr">
        <is>
          <t>Not applicable</t>
        </is>
      </c>
      <c r="L19" s="17" t="inlineStr">
        <is>
          <t>Yes</t>
        </is>
      </c>
      <c r="M19" s="27" t="inlineStr">
        <is>
          <t>Shared deterministic actors, dates, values and identities across modules.</t>
        </is>
      </c>
      <c r="N19" s="27" t="inlineStr">
        <is>
          <t>All modules</t>
        </is>
      </c>
      <c r="O19" s="27" t="inlineStr">
        <is>
          <t>Reconcile to the reservation correction and Gate 1 public/vendor documents before integrated verification.</t>
        </is>
      </c>
      <c r="P19" s="27" t="inlineStr">
        <is>
          <t>https://chatgpt.com/api/library/files/libfile_a5c959436ba48191912c97c010513fdb/download</t>
        </is>
      </c>
      <c r="Q19" s="17" t="n"/>
      <c r="R19" s="17" t="n"/>
      <c r="S19" s="17" t="n"/>
      <c r="T19" s="17" t="n"/>
      <c r="U19" s="17" t="n"/>
      <c r="V19" s="17" t="n"/>
      <c r="W19" s="17" t="n"/>
      <c r="X19" s="17" t="n"/>
      <c r="Y19" s="17" t="n"/>
      <c r="Z19" s="17" t="n"/>
    </row>
    <row r="20" ht="43.5" customHeight="1" s="15">
      <c r="A20" s="17" t="inlineStr">
        <is>
          <t>SEED-OPS-001</t>
        </is>
      </c>
      <c r="B20" s="27" t="inlineStr">
        <is>
          <t>Canonical Site Seed Runbook</t>
        </is>
      </c>
      <c r="C20" s="17" t="inlineStr">
        <is>
          <t>1.21</t>
        </is>
      </c>
      <c r="D20" s="27" t="inlineStr">
        <is>
          <t>Cross-module</t>
        </is>
      </c>
      <c r="E20" s="27" t="inlineStr">
        <is>
          <t>Operational runbook</t>
        </is>
      </c>
      <c r="F20" s="27" t="inlineStr">
        <is>
          <t>Approved reference</t>
        </is>
      </c>
      <c r="G20" s="33" t="n">
        <v>46298</v>
      </c>
      <c r="H20" s="27" t="inlineStr">
        <is>
          <t>v1.20 and v1.19; v1.0–v1.15 retained in KenTender_SEED-OPS-001_Canonical_Site_Seed_Runbook_v1_0.md</t>
        </is>
      </c>
      <c r="I20" s="27" t="inlineStr">
        <is>
          <t>Implemented</t>
        </is>
      </c>
      <c r="J20" s="27" t="inlineStr">
        <is>
          <t>Passed</t>
        </is>
      </c>
      <c r="K20" s="27" t="inlineStr">
        <is>
          <t>Not applicable</t>
        </is>
      </c>
      <c r="L20" s="17" t="inlineStr">
        <is>
          <t>No</t>
        </is>
      </c>
      <c r="M20" s="27" t="inlineStr">
        <is>
          <t>Resetting a site to the canonical seed world (KT-STD-001 §8 and SEED-001), stage by stage from site to award: options, what the clear removes, validation, demo profiles and troubleshooting.</t>
        </is>
      </c>
      <c r="N20" s="27" t="inlineStr">
        <is>
          <t>KT-STD-001 v1.12 approved; supplied v1.13 proposed fixture amendment used under recorded owner direction; SEED-001 v1.3 pending reconciliation; EVL v0.4 approved; AWD v0.4 proposed</t>
        </is>
      </c>
      <c r="O20" s="27" t="inlineStr">
        <is>
          <t>Approved 3 October 2026 with v1.20 (Project Owner: "All docs approved."). Keep in step with the seed code; the canonical Tender has four bids (DEC-038). Seed test success is reported evidence only; full module evidence is tracked under AUD-020. Repository file only (the library holds v1.19).</t>
        </is>
      </c>
      <c r="P20" s="27" t="inlineStr">
        <is>
          <t>Repository: docs/mvp-1-r1/00_common/KenTender_SEED-OPS-001_Canonical_Site_Seed_Runbook_v1_21.md</t>
        </is>
      </c>
      <c r="Q20" s="17" t="n"/>
      <c r="R20" s="17" t="n"/>
      <c r="S20" s="17" t="n"/>
      <c r="T20" s="17" t="n"/>
      <c r="U20" s="17" t="n"/>
      <c r="V20" s="17" t="n"/>
      <c r="W20" s="17" t="n"/>
      <c r="X20" s="17" t="n"/>
      <c r="Y20" s="17" t="n"/>
      <c r="Z20" s="17" t="n"/>
    </row>
    <row r="21" ht="43.5" customHeight="1" s="15">
      <c r="A21" s="17" t="inlineStr">
        <is>
          <t>G1-REG-001</t>
        </is>
      </c>
      <c r="B21" s="27" t="inlineStr">
        <is>
          <t>Public/Vendor MVP Closure and Implementation Handoff</t>
        </is>
      </c>
      <c r="C21" s="17" t="inlineStr">
        <is>
          <t>1.1</t>
        </is>
      </c>
      <c r="D21" s="27" t="inlineStr">
        <is>
          <t>Gate 1</t>
        </is>
      </c>
      <c r="E21" s="27" t="inlineStr">
        <is>
          <t>Implementation handoff</t>
        </is>
      </c>
      <c r="F21" s="27" t="inlineStr">
        <is>
          <t>Approved requirement</t>
        </is>
      </c>
      <c r="G21" s="33" t="n">
        <v>46296</v>
      </c>
      <c r="H21" s="27" t="inlineStr">
        <is>
          <t>v1.0</t>
        </is>
      </c>
      <c r="I21" s="27" t="inlineStr">
        <is>
          <t>Planned</t>
        </is>
      </c>
      <c r="J21" s="27" t="inlineStr">
        <is>
          <t>Not evidenced</t>
        </is>
      </c>
      <c r="K21" s="27" t="inlineStr">
        <is>
          <t>Blocked</t>
        </is>
      </c>
      <c r="L21" s="17" t="inlineStr">
        <is>
          <t>Yes</t>
        </is>
      </c>
      <c r="M21" s="27" t="inlineStr">
        <is>
          <t>Reconciled implementation sequence from public discovery through sealed Bid Submission, including the installed STD runtime and in-flight release lifecycle.</t>
        </is>
      </c>
      <c r="N21" s="27" t="inlineStr">
        <is>
          <t>CFG v0.16; STD-TPL v0.10; STD-TPL-IMP v1.0; TPR v0.11; BDS v0.7; REQ v1.12; PLN v1.27; BUD v1.11; AUTH v1.10; KT-STD v1.8</t>
        </is>
      </c>
      <c r="O21" s="27" t="inlineStr">
        <is>
          <t>Approved 1 October 2026. Implement and verify the approved contract; retain existing release gates and open substantive findings.</t>
        </is>
      </c>
      <c r="P21" s="27" t="inlineStr">
        <is>
          <t>https://chatgpt.com/api/library/files/libfile_f8ffd7bdcf1c8191b434d098ba12e93b/download</t>
        </is>
      </c>
      <c r="Q21" s="17" t="n"/>
      <c r="R21" s="17" t="n"/>
      <c r="S21" s="17" t="n"/>
      <c r="T21" s="17" t="n"/>
      <c r="U21" s="17" t="n"/>
      <c r="V21" s="17" t="n"/>
      <c r="W21" s="17" t="n"/>
      <c r="X21" s="17" t="n"/>
      <c r="Y21" s="17" t="n"/>
      <c r="Z21" s="17" t="n"/>
    </row>
    <row r="22" ht="43.5" customHeight="1" s="15">
      <c r="A22" s="17" t="inlineStr">
        <is>
          <t>KT-RCA-001</t>
        </is>
      </c>
      <c r="B22" s="27" t="inlineStr">
        <is>
          <t>Roadmap Coverage Assessment</t>
        </is>
      </c>
      <c r="C22" s="17" t="inlineStr">
        <is>
          <t>1.2</t>
        </is>
      </c>
      <c r="D22" s="27" t="inlineStr">
        <is>
          <t>Programme</t>
        </is>
      </c>
      <c r="E22" s="27" t="inlineStr">
        <is>
          <t>Programme assessment</t>
        </is>
      </c>
      <c r="F22" s="27" t="inlineStr">
        <is>
          <t>Directional</t>
        </is>
      </c>
      <c r="G22" s="33" t="n"/>
      <c r="H22" s="27" t="inlineStr">
        <is>
          <t>v1.1</t>
        </is>
      </c>
      <c r="I22" s="27" t="inlineStr">
        <is>
          <t>Not applicable</t>
        </is>
      </c>
      <c r="J22" s="27" t="inlineStr">
        <is>
          <t>Not applicable</t>
        </is>
      </c>
      <c r="K22" s="27" t="inlineStr">
        <is>
          <t>Not applicable</t>
        </is>
      </c>
      <c r="L22" s="17" t="inlineStr">
        <is>
          <t>No</t>
        </is>
      </c>
      <c r="M22" s="27" t="inlineStr">
        <is>
          <t>Coverage through approved Bid Opening v0.10 and Evaluation v0.4; Award next, followed by Supplier Management. Proposed coordinated amendments and production gates remain distinct.</t>
        </is>
      </c>
      <c r="N22" s="27" t="inlineStr">
        <is>
          <t>Source roadmap; current controlled baseline</t>
        </is>
      </c>
      <c r="O22" s="27" t="inlineStr">
        <is>
          <t>Use v1.2 for programme sequencing: Award next. Directional assessment only; preserves owner approvals, Gate 1 boundary and outstanding integration/release work.</t>
        </is>
      </c>
      <c r="P22" s="27" t="inlineStr">
        <is>
          <t>https://chatgpt.com/api/library/files/libfile_483ff064d904819188eaf4179672fb39/download</t>
        </is>
      </c>
      <c r="Q22" s="17" t="n"/>
      <c r="R22" s="17" t="n"/>
      <c r="S22" s="17" t="n"/>
      <c r="T22" s="17" t="n"/>
      <c r="U22" s="17" t="n"/>
      <c r="V22" s="17" t="n"/>
      <c r="W22" s="17" t="n"/>
      <c r="X22" s="17" t="n"/>
      <c r="Y22" s="17" t="n"/>
      <c r="Z22" s="17" t="n"/>
    </row>
    <row r="23" ht="43.5" customHeight="1" s="15">
      <c r="A23" s="17" t="inlineStr">
        <is>
          <t>RES-IMP-001</t>
        </is>
      </c>
      <c r="B23" s="27" t="inlineStr">
        <is>
          <t>Reservation Correction Implementation Handoff</t>
        </is>
      </c>
      <c r="C23" s="17" t="inlineStr">
        <is>
          <t>1.0</t>
        </is>
      </c>
      <c r="D23" s="27" t="inlineStr">
        <is>
          <t>Cross-module reservation</t>
        </is>
      </c>
      <c r="E23" s="27" t="inlineStr">
        <is>
          <t>Implementation handoff</t>
        </is>
      </c>
      <c r="F23" s="27" t="inlineStr">
        <is>
          <t>Approved requirement</t>
        </is>
      </c>
      <c r="G23" s="33" t="n">
        <v>46296</v>
      </c>
      <c r="H23" s="27" t="n"/>
      <c r="I23" s="27" t="inlineStr">
        <is>
          <t>Planned</t>
        </is>
      </c>
      <c r="J23" s="27" t="inlineStr">
        <is>
          <t>Not evidenced</t>
        </is>
      </c>
      <c r="K23" s="27" t="inlineStr">
        <is>
          <t>Not applicable</t>
        </is>
      </c>
      <c r="L23" s="17" t="inlineStr">
        <is>
          <t>Yes</t>
        </is>
      </c>
      <c r="M23" s="27" t="inlineStr">
        <is>
          <t>Functional and design correction for the statutory reservation denominator and downstream propagation.</t>
        </is>
      </c>
      <c r="N23" s="27" t="inlineStr">
        <is>
          <t>LAW-REG-001; PLN-CHG-001; REQ-CHG-001; TPR-CHG-001; BDS-CHG-001</t>
        </is>
      </c>
      <c r="O23" s="27" t="inlineStr">
        <is>
          <t>Approved 1 October 2026. Implement and verify the approved contract; retain existing release gates and open substantive findings.</t>
        </is>
      </c>
      <c r="P23" s="27" t="inlineStr">
        <is>
          <t>https://chatgpt.com/api/library/files/libfile_ecce449ece2081919d35d737bb7dd314/download</t>
        </is>
      </c>
      <c r="Q23" s="17" t="n"/>
      <c r="R23" s="17" t="n"/>
      <c r="S23" s="17" t="n"/>
      <c r="T23" s="17" t="n"/>
      <c r="U23" s="17" t="n"/>
      <c r="V23" s="17" t="n"/>
      <c r="W23" s="17" t="n"/>
      <c r="X23" s="17" t="n"/>
      <c r="Y23" s="17" t="n"/>
      <c r="Z23" s="17" t="n"/>
    </row>
    <row r="24" ht="43.5" customHeight="1" s="15">
      <c r="A24" s="17" t="inlineStr">
        <is>
          <t>WFG-STD</t>
        </is>
      </c>
      <c r="B24" s="27" t="inlineStr">
        <is>
          <t>KenTender Workflow Guidance Standard</t>
        </is>
      </c>
      <c r="C24" s="17" t="inlineStr">
        <is>
          <t>Unversioned approved source</t>
        </is>
      </c>
      <c r="D24" s="27" t="inlineStr">
        <is>
          <t>Cross-module UX and workflow</t>
        </is>
      </c>
      <c r="E24" s="27" t="inlineStr">
        <is>
          <t>Approved source standard</t>
        </is>
      </c>
      <c r="F24" s="27" t="inlineStr">
        <is>
          <t>Approved reference</t>
        </is>
      </c>
      <c r="G24" s="33" t="n">
        <v>46290</v>
      </c>
      <c r="H24" s="27" t="n"/>
      <c r="I24" s="27" t="inlineStr">
        <is>
          <t>Planned</t>
        </is>
      </c>
      <c r="J24" s="27" t="inlineStr">
        <is>
          <t>Not evidenced</t>
        </is>
      </c>
      <c r="K24" s="27" t="inlineStr">
        <is>
          <t>Not applicable</t>
        </is>
      </c>
      <c r="L24" s="17" t="inlineStr">
        <is>
          <t>Yes—through KT-STD-001 v1.9 and module adoption</t>
        </is>
      </c>
      <c r="M24" s="27" t="inlineStr">
        <is>
          <t>Defines the no-dead-ends test, shared next-step response, My Work hand-off coverage, restrained journey tracker and Home guidance using the Planning over-budget case.</t>
        </is>
      </c>
      <c r="N24" s="27" t="inlineStr">
        <is>
          <t>KT-STD-001 v1.9; module-specific adoption</t>
        </is>
      </c>
      <c r="O24" s="27" t="inlineStr">
        <is>
          <t>Retain as approved provenance. Implement operative wording from KT-STD-001 v1.9 and each current module document.</t>
        </is>
      </c>
      <c r="P24" s="27" t="inlineStr">
        <is>
          <t>https://chatgpt.com/api/library/files/libfile_ac20011f049881919843681b0461c5cb/download</t>
        </is>
      </c>
      <c r="Q24" s="17" t="n"/>
      <c r="R24" s="17" t="n"/>
      <c r="S24" s="17" t="n"/>
      <c r="T24" s="17" t="n"/>
      <c r="U24" s="17" t="n"/>
      <c r="V24" s="17" t="n"/>
      <c r="W24" s="17" t="n"/>
      <c r="X24" s="17" t="n"/>
      <c r="Y24" s="17" t="n"/>
      <c r="Z24" s="17" t="n"/>
    </row>
    <row r="25" ht="43.5" customHeight="1" s="15">
      <c r="A25" s="17" t="inlineStr">
        <is>
          <t>PLN-JOURNEY-REF</t>
        </is>
      </c>
      <c r="B25" s="27" t="inlineStr">
        <is>
          <t>PLN-CHG-001 Next-step and journey content</t>
        </is>
      </c>
      <c r="C25" s="17" t="inlineStr">
        <is>
          <t>Draft input dated 2026-09-25</t>
        </is>
      </c>
      <c r="D25" s="27" t="inlineStr">
        <is>
          <t>Procurement Planning</t>
        </is>
      </c>
      <c r="E25" s="27" t="inlineStr">
        <is>
          <t>Module amendment source</t>
        </is>
      </c>
      <c r="F25" s="27" t="inlineStr">
        <is>
          <t>Historical provenance</t>
        </is>
      </c>
      <c r="G25" s="33" t="n"/>
      <c r="H25" s="27" t="inlineStr">
        <is>
          <t>Absorbed by approved PLN-CHG-001 v1.26 and v1.27</t>
        </is>
      </c>
      <c r="I25" s="27" t="inlineStr">
        <is>
          <t>Not applicable</t>
        </is>
      </c>
      <c r="J25" s="27" t="inlineStr">
        <is>
          <t>Not applicable</t>
        </is>
      </c>
      <c r="K25" s="27" t="inlineStr">
        <is>
          <t>Not applicable</t>
        </is>
      </c>
      <c r="L25" s="17" t="inlineStr">
        <is>
          <t>No</t>
        </is>
      </c>
      <c r="M25" s="27" t="inlineStr">
        <is>
          <t>Draft wording and per-screen next-step/journey proposal used to prepare Planning v1.26.</t>
        </is>
      </c>
      <c r="N25" s="27" t="inlineStr">
        <is>
          <t>Workflow Guidance Standard; KT-STD-001 v1.8; PLN-CHG-001 v1.25</t>
        </is>
      </c>
      <c r="O25" s="27" t="inlineStr">
        <is>
          <t>Do not use as a separate implementation authority; retain only as provenance for PLN v1.27.</t>
        </is>
      </c>
      <c r="P25" s="27" t="inlineStr">
        <is>
          <t>https://chatgpt.com/api/library/files/libfile_4453ef182d708191846615aaff160810/download</t>
        </is>
      </c>
      <c r="Q25" s="17" t="n"/>
      <c r="R25" s="17" t="n"/>
      <c r="S25" s="17" t="n"/>
      <c r="T25" s="17" t="n"/>
      <c r="U25" s="17" t="n"/>
      <c r="V25" s="17" t="n"/>
      <c r="W25" s="17" t="n"/>
      <c r="X25" s="17" t="n"/>
      <c r="Y25" s="17" t="n"/>
      <c r="Z25" s="17" t="n"/>
    </row>
    <row r="26" ht="43.5" customHeight="1" s="15">
      <c r="A26" s="17" t="inlineStr">
        <is>
          <t>ISSUE-UJ-001</t>
        </is>
      </c>
      <c r="B26" s="27" t="inlineStr">
        <is>
          <t>Opaqueness in the user journey</t>
        </is>
      </c>
      <c r="C26" s="17" t="inlineStr">
        <is>
          <t>Issue record dated 2026-09-25</t>
        </is>
      </c>
      <c r="D26" s="27" t="inlineStr">
        <is>
          <t>Cross-module UX and workflow</t>
        </is>
      </c>
      <c r="E26" s="27" t="inlineStr">
        <is>
          <t>Issue and recommendation evidence</t>
        </is>
      </c>
      <c r="F26" s="27" t="inlineStr">
        <is>
          <t>Issue evidence</t>
        </is>
      </c>
      <c r="G26" s="33" t="n"/>
      <c r="H26" s="27" t="n"/>
      <c r="I26" s="27" t="inlineStr">
        <is>
          <t>Not applicable</t>
        </is>
      </c>
      <c r="J26" s="27" t="inlineStr">
        <is>
          <t>Not applicable</t>
        </is>
      </c>
      <c r="K26" s="27" t="inlineStr">
        <is>
          <t>Not applicable</t>
        </is>
      </c>
      <c r="L26" s="17" t="inlineStr">
        <is>
          <t>No</t>
        </is>
      </c>
      <c r="M26" s="27" t="inlineStr">
        <is>
          <t>Records the over-budget Planning dead end and recommends a no-dead-ends test, shared next-step block, complete My Work hand-offs, journey tracking and a useful Home page.</t>
        </is>
      </c>
      <c r="N26" s="27" t="inlineStr">
        <is>
          <t>Workflow Guidance Standard; KT-STD-001 v1.8; PLN-CHG-001 v1.27</t>
        </is>
      </c>
      <c r="O26" s="27" t="inlineStr">
        <is>
          <t>Retain as evidence of the defect and recommendation; implement only through approved standards and module documents.</t>
        </is>
      </c>
      <c r="P26" s="27" t="inlineStr">
        <is>
          <t>https://chatgpt.com/api/library/files/libfile_cb7fa45e06648191a017461fc2ff2480/download</t>
        </is>
      </c>
      <c r="Q26" s="17" t="n"/>
      <c r="R26" s="17" t="n"/>
      <c r="S26" s="17" t="n"/>
      <c r="T26" s="17" t="n"/>
      <c r="U26" s="17" t="n"/>
      <c r="V26" s="17" t="n"/>
      <c r="W26" s="17" t="n"/>
      <c r="X26" s="17" t="n"/>
      <c r="Y26" s="17" t="n"/>
      <c r="Z26" s="17" t="n"/>
    </row>
    <row r="27" ht="43.5" customHeight="1" s="15">
      <c r="A27" s="17" t="inlineStr">
        <is>
          <t>ROADMAP-SRC</t>
        </is>
      </c>
      <c r="B27" s="27" t="inlineStr">
        <is>
          <t>KenTender ePublic Milestone Overview</t>
        </is>
      </c>
      <c r="C27" s="17" t="inlineStr">
        <is>
          <t>2</t>
        </is>
      </c>
      <c r="D27" s="27" t="inlineStr">
        <is>
          <t>Programme</t>
        </is>
      </c>
      <c r="E27" s="27" t="inlineStr">
        <is>
          <t>Source roadmap</t>
        </is>
      </c>
      <c r="F27" s="27" t="inlineStr">
        <is>
          <t>Directional</t>
        </is>
      </c>
      <c r="G27" s="33" t="n"/>
      <c r="H27" s="27" t="n"/>
      <c r="I27" s="27" t="inlineStr">
        <is>
          <t>Not applicable</t>
        </is>
      </c>
      <c r="J27" s="27" t="inlineStr">
        <is>
          <t>Not applicable</t>
        </is>
      </c>
      <c r="K27" s="27" t="inlineStr">
        <is>
          <t>Not applicable</t>
        </is>
      </c>
      <c r="L27" s="17" t="inlineStr">
        <is>
          <t>No</t>
        </is>
      </c>
      <c r="M27" s="27" t="inlineStr">
        <is>
          <t>Initial client roadmap and milestone intent.</t>
        </is>
      </c>
      <c r="N27" s="27" t="inlineStr">
        <is>
          <t>KT-RCA-001</t>
        </is>
      </c>
      <c r="O27" s="27" t="inlineStr">
        <is>
          <t>Retain as source context; resolve implementation from controlled module documents.</t>
        </is>
      </c>
      <c r="P27" s="27" t="inlineStr">
        <is>
          <t>https://chatgpt.com/api/library/files/libfile_a58ca41f1fb88191a0431e50ae42ef1b/download</t>
        </is>
      </c>
      <c r="Q27" s="17" t="n"/>
      <c r="R27" s="17" t="n"/>
      <c r="S27" s="17" t="n"/>
      <c r="T27" s="17" t="n"/>
      <c r="U27" s="17" t="n"/>
      <c r="V27" s="17" t="n"/>
      <c r="W27" s="17" t="n"/>
      <c r="X27" s="17" t="n"/>
      <c r="Y27" s="17" t="n"/>
      <c r="Z27" s="17" t="n"/>
    </row>
    <row r="28" ht="43.5" customHeight="1" s="15">
      <c r="A28" s="17" t="inlineStr">
        <is>
          <t>IT-EQUIPMENT-OPEN-V1</t>
        </is>
      </c>
      <c r="B28" s="27" t="inlineStr">
        <is>
          <t>IT Equipment Open Tender Release Bundle</t>
        </is>
      </c>
      <c r="C28" s="17" t="inlineStr">
        <is>
          <t>candidate</t>
        </is>
      </c>
      <c r="D28" s="27" t="inlineStr">
        <is>
          <t>STD Templates</t>
        </is>
      </c>
      <c r="E28" s="27" t="inlineStr">
        <is>
          <t>Release artifact</t>
        </is>
      </c>
      <c r="F28" s="27" t="inlineStr">
        <is>
          <t>Release artifact</t>
        </is>
      </c>
      <c r="G28" s="33" t="n"/>
      <c r="H28" s="27" t="n"/>
      <c r="I28" s="27" t="inlineStr">
        <is>
          <t>Implemented</t>
        </is>
      </c>
      <c r="J28" s="27" t="inlineStr">
        <is>
          <t>Pending</t>
        </is>
      </c>
      <c r="K28" s="27" t="inlineStr">
        <is>
          <t>Candidate</t>
        </is>
      </c>
      <c r="L28" s="17" t="inlineStr">
        <is>
          <t>No</t>
        </is>
      </c>
      <c r="M28" s="27" t="inlineStr">
        <is>
          <t>Earlier candidate ZIP; requires reconciliation to amended STD-TPL-001 v0.10 before installation and Administrator On.</t>
        </is>
      </c>
      <c r="N28" s="27" t="inlineStr">
        <is>
          <t>STD-TPL-001 v0.10; STD-TPL-IMP-001 v1.1</t>
        </is>
      </c>
      <c r="O28" s="27" t="inlineStr">
        <is>
          <t>Rebuild and verify the bundle and renderer compatibility; do not treat this earlier ZIP as installed or On. Observation, 2 October 2026: QA exercised template release 1.2 (manifest status Candidate) on Tender TND-MOH-2027-002 and found Confidential Business Questionnaire defects (DEC-035). No status here is changed by that observation.</t>
        </is>
      </c>
      <c r="P28" s="27" t="inlineStr">
        <is>
          <t>https://chatgpt.com/api/library/files/libfile_7350870ee594819189729148528d97d7/download</t>
        </is>
      </c>
      <c r="Q28" s="17" t="n"/>
      <c r="R28" s="17" t="n"/>
      <c r="S28" s="17" t="n"/>
      <c r="T28" s="17" t="n"/>
      <c r="U28" s="17" t="n"/>
      <c r="V28" s="17" t="n"/>
      <c r="W28" s="17" t="n"/>
      <c r="X28" s="17" t="n"/>
      <c r="Y28" s="17" t="n"/>
      <c r="Z28" s="17" t="n"/>
    </row>
    <row r="29" ht="43.5" customHeight="1" s="15">
      <c r="A29" s="17" t="inlineStr">
        <is>
          <t>STD-STD-001</t>
        </is>
      </c>
      <c r="B29" s="27" t="inlineStr">
        <is>
          <t>Referenced structured-tender standard</t>
        </is>
      </c>
      <c r="C29" s="17" t="inlineStr">
        <is>
          <t>1.1</t>
        </is>
      </c>
      <c r="D29" s="27" t="inlineStr">
        <is>
          <t>Tenders/Bids</t>
        </is>
      </c>
      <c r="E29" s="27" t="inlineStr">
        <is>
          <t>Referenced standard</t>
        </is>
      </c>
      <c r="F29" s="27" t="inlineStr">
        <is>
          <t>Referenced—unresolved</t>
        </is>
      </c>
      <c r="G29" s="33" t="n"/>
      <c r="H29" s="27" t="n"/>
      <c r="I29" s="27" t="inlineStr">
        <is>
          <t>Not evidenced</t>
        </is>
      </c>
      <c r="J29" s="27" t="inlineStr">
        <is>
          <t>Not evidenced</t>
        </is>
      </c>
      <c r="K29" s="27" t="inlineStr">
        <is>
          <t>Blocked</t>
        </is>
      </c>
      <c r="L29" s="17" t="inlineStr">
        <is>
          <t>Unknown</t>
        </is>
      </c>
      <c r="M29" s="27" t="inlineStr">
        <is>
          <t>Referenced by current documents but the exact controlled file was not resolved in the admitted set.</t>
        </is>
      </c>
      <c r="N29" s="27" t="inlineStr">
        <is>
          <t>STD-TPL-001; TPR-CHG-001; BDS-CHG-001</t>
        </is>
      </c>
      <c r="O29" s="27" t="inlineStr">
        <is>
          <t>Locate or admit the exact v1.1 controlled file, then reconcile its authority and dependencies.</t>
        </is>
      </c>
      <c r="P29" s="27" t="n"/>
      <c r="Q29" s="17" t="n"/>
      <c r="R29" s="17" t="n"/>
      <c r="S29" s="17" t="n"/>
      <c r="T29" s="17" t="n"/>
      <c r="U29" s="17" t="n"/>
      <c r="V29" s="17" t="n"/>
      <c r="W29" s="17" t="n"/>
      <c r="X29" s="17" t="n"/>
      <c r="Y29" s="17" t="n"/>
      <c r="Z29" s="17" t="n"/>
    </row>
    <row r="30" ht="43.5" customHeight="1" s="15">
      <c r="A30" s="17" t="inlineStr">
        <is>
          <t>STD-ST-001</t>
        </is>
      </c>
      <c r="B30" s="27" t="inlineStr">
        <is>
          <t>Practical STD and Tender-Preparation Stress Test</t>
        </is>
      </c>
      <c r="C30" s="17" t="inlineStr">
        <is>
          <t>0.5</t>
        </is>
      </c>
      <c r="D30" s="27" t="inlineStr">
        <is>
          <t>Verification</t>
        </is>
      </c>
      <c r="E30" s="27" t="inlineStr">
        <is>
          <t>Referenced standard</t>
        </is>
      </c>
      <c r="F30" s="27" t="inlineStr">
        <is>
          <t>Approved reference</t>
        </is>
      </c>
      <c r="G30" s="33" t="n">
        <v>46276</v>
      </c>
      <c r="H30" s="27" t="inlineStr">
        <is>
          <t>v0.4 approved 7 September 2026; earlier versions</t>
        </is>
      </c>
      <c r="I30" s="27" t="inlineStr">
        <is>
          <t>Not evidenced</t>
        </is>
      </c>
      <c r="J30" s="27" t="inlineStr">
        <is>
          <t>Not evidenced</t>
        </is>
      </c>
      <c r="K30" s="27" t="inlineStr">
        <is>
          <t>Blocked</t>
        </is>
      </c>
      <c r="L30" s="17" t="inlineStr">
        <is>
          <t>Yes</t>
        </is>
      </c>
      <c r="M30" s="27" t="inlineStr">
        <is>
          <t>Comparative stress test of STD-ADR-002 v1.0: no operational STD Configuration engine; code-owned, versioned tender patterns; locked official text; finite tender decisions and fixed schedules. Implementation authority: none. (Before 2 October 2026 read: Referenced by current documents but the exact controlled v0.5 file was not resolved in the admitted set.)</t>
        </is>
      </c>
      <c r="N30" s="27" t="inlineStr">
        <is>
          <t>STD-ADR-002 v1.0; STD-STD-001 v1.1; AUTH-ADR-001 v1.7 (as cited in v0.5)</t>
        </is>
      </c>
      <c r="O30" s="27" t="inlineStr">
        <is>
          <t>Exact v0.5 file supplied by the Project Owner on 2 October 2026; admit it to the document library and record its library file ID. Its approval effect requires the §13 human walkthroughs and a separately approved narrow implementation pack before implementation (AUD-023). (Before 2 October 2026 read: Locate or admit the exact v0.5 controlled file before final integrated verification.)</t>
        </is>
      </c>
      <c r="P30" s="27" t="inlineStr">
        <is>
          <t>Repository: docs/mvp-1-r1/07_std_configuration/KenTender_STD-ST-001_STD-ADR-002_Manual_End-to-End_Stress_Test_v0_5.md</t>
        </is>
      </c>
      <c r="Q30" s="17" t="n"/>
      <c r="R30" s="17" t="n"/>
      <c r="S30" s="17" t="n"/>
      <c r="T30" s="17" t="n"/>
      <c r="U30" s="17" t="n"/>
      <c r="V30" s="17" t="n"/>
      <c r="W30" s="17" t="n"/>
      <c r="X30" s="17" t="n"/>
      <c r="Y30" s="17" t="n"/>
      <c r="Z30" s="17" t="n"/>
    </row>
    <row r="31" ht="43.5" customHeight="1" s="15">
      <c r="A31" s="17" t="inlineStr">
        <is>
          <t>TRUST-ADR-001</t>
        </is>
      </c>
      <c r="B31" s="27" t="inlineStr">
        <is>
          <t>Shared Signing and Sealed Custody</t>
        </is>
      </c>
      <c r="C31" s="17" t="inlineStr">
        <is>
          <t>0.1</t>
        </is>
      </c>
      <c r="D31" s="27" t="inlineStr">
        <is>
          <t>Shared Trust Infrastructure</t>
        </is>
      </c>
      <c r="E31" s="27" t="inlineStr">
        <is>
          <t>Architecture decision</t>
        </is>
      </c>
      <c r="F31" s="27" t="inlineStr">
        <is>
          <t>Approved requirement</t>
        </is>
      </c>
      <c r="G31" s="33" t="n">
        <v>46292</v>
      </c>
      <c r="H31" s="27" t="n"/>
      <c r="I31" s="27" t="inlineStr">
        <is>
          <t>Not started</t>
        </is>
      </c>
      <c r="J31" s="27" t="inlineStr">
        <is>
          <t>Not started</t>
        </is>
      </c>
      <c r="K31" s="27" t="inlineStr">
        <is>
          <t>Blocked</t>
        </is>
      </c>
      <c r="L31" s="17" t="inlineStr">
        <is>
          <t>Yes</t>
        </is>
      </c>
      <c r="M31" s="27" t="inlineStr">
        <is>
          <t>Locks two distinct signing/decision semantics and separate multi-person sealed-bid custody, defers actual production mechanisms to a shared support module, and permits synthetic test proxies only.</t>
        </is>
      </c>
      <c r="N31" s="27" t="inlineStr">
        <is>
          <t>BDS-CHG-001 v0.8 (v0.9 proposed); BOP-CHG-001 v0.10 proposed; PRC-CHG-001 v0.9 proposed; LAW-V-001</t>
        </is>
      </c>
      <c r="O31" s="27" t="inlineStr">
        <is>
          <t>Approved v0.1 remains architecture authority. Its static Consumers row cites historical BOP v0.1/PRC v0.2; update by a later controlled revision. Test infrastructure administrator is outside proxy confidentiality guarantee. Production support module and operating profile remain separate.</t>
        </is>
      </c>
      <c r="P31" s="27" t="inlineStr">
        <is>
          <t>https://chatgpt.com/api/library/files/libfile_d1eb23c985808191b4a6e33a29af86b5/download</t>
        </is>
      </c>
      <c r="Q31" s="17" t="n"/>
      <c r="R31" s="17" t="n"/>
      <c r="S31" s="17" t="n"/>
      <c r="T31" s="17" t="n"/>
      <c r="U31" s="17" t="n"/>
      <c r="V31" s="17" t="n"/>
      <c r="W31" s="17" t="n"/>
      <c r="X31" s="17" t="n"/>
      <c r="Y31" s="17" t="n"/>
      <c r="Z31" s="17" t="n"/>
    </row>
    <row r="32" ht="43.5" customHeight="1" s="15">
      <c r="A32" s="17" t="inlineStr">
        <is>
          <t>BOP-CHG-001</t>
        </is>
      </c>
      <c r="B32" s="27" t="inlineStr">
        <is>
          <t>Electronic Bid Opening</t>
        </is>
      </c>
      <c r="C32" s="17" t="inlineStr">
        <is>
          <t>0.10</t>
        </is>
      </c>
      <c r="D32" s="27" t="inlineStr">
        <is>
          <t>Bid Opening</t>
        </is>
      </c>
      <c r="E32" s="27" t="inlineStr">
        <is>
          <t>Module requirements</t>
        </is>
      </c>
      <c r="F32" s="27" t="inlineStr">
        <is>
          <t>Approved requirement</t>
        </is>
      </c>
      <c r="G32" s="33" t="n">
        <v>46294</v>
      </c>
      <c r="H32" s="27" t="inlineStr">
        <is>
          <t>v0.9 approved 29 September 2026, retained as historical evidence</t>
        </is>
      </c>
      <c r="I32" s="27" t="inlineStr">
        <is>
          <t>In progress</t>
        </is>
      </c>
      <c r="J32" s="27" t="inlineStr">
        <is>
          <t>Pending</t>
        </is>
      </c>
      <c r="K32" s="27" t="inlineStr">
        <is>
          <t>Not approved</t>
        </is>
      </c>
      <c r="L32" s="17" t="inlineStr">
        <is>
          <t>Yes</t>
        </is>
      </c>
      <c r="M32" s="27" t="inlineStr">
        <is>
          <t>Approved design and development contract. v0.10 adds the opening-access-unavailable scenario, four completed-record correction kinds, the AO Your turn state and a unified Tender route.</t>
        </is>
      </c>
      <c r="N32" s="27" t="inlineStr">
        <is>
          <t>KT-STD-001 v1.10 approved; TPR-CHG-001 v0.13 approved (v0.14 post-close seam proposed); BDS-CHG-001 v0.8 approved (v0.9 correction proposed); PRC-CHG-001 v0.9 approved; TRUST-ADR-001 v0.1 approved; LAW-V-001; future Evaluation intake</t>
        </is>
      </c>
      <c r="O32" s="27" t="inlineStr">
        <is>
          <t>Implement approved v0.10 under KT-STD-001 v1.10 with PRC v0.9. Preserve deferred signing/custody support and the separate TPR v0.14 dependency. SEED-OPS v1.18 reports a built canonical stage; this supports In progress, not full implementation or acceptance completion. Verify module-wide evidence under AUD-020.</t>
        </is>
      </c>
      <c r="P32" s="27" t="inlineStr">
        <is>
          <t>https://chatgpt.com/api/library/files/libfile_a398ef6e43f08191981ed3372ee79e29/download</t>
        </is>
      </c>
      <c r="Q32" s="17" t="n"/>
      <c r="R32" s="17" t="n"/>
      <c r="S32" s="17" t="n"/>
      <c r="T32" s="17" t="n"/>
      <c r="U32" s="17" t="n"/>
      <c r="V32" s="17" t="n"/>
      <c r="W32" s="17" t="n"/>
      <c r="X32" s="17" t="n"/>
      <c r="Y32" s="17" t="n"/>
      <c r="Z32" s="17" t="n"/>
    </row>
    <row r="33" ht="43.5" customHeight="1" s="15">
      <c r="A33" s="17" t="inlineStr">
        <is>
          <t>PRC-CHG-001</t>
        </is>
      </c>
      <c r="B33" s="27" t="inlineStr">
        <is>
          <t>Minimal Procurement Proceedings</t>
        </is>
      </c>
      <c r="C33" s="17" t="inlineStr">
        <is>
          <t>0.10</t>
        </is>
      </c>
      <c r="D33" s="27" t="inlineStr">
        <is>
          <t>Procurement Proceedings</t>
        </is>
      </c>
      <c r="E33" s="27" t="inlineStr">
        <is>
          <t>Module requirements</t>
        </is>
      </c>
      <c r="F33" s="27" t="inlineStr">
        <is>
          <t>Approved requirement</t>
        </is>
      </c>
      <c r="G33" s="33" t="n">
        <v>46296</v>
      </c>
      <c r="H33" s="27" t="inlineStr">
        <is>
          <t>v0.9; prior approvals retained</t>
        </is>
      </c>
      <c r="I33" s="27" t="inlineStr">
        <is>
          <t>Not started</t>
        </is>
      </c>
      <c r="J33" s="27" t="inlineStr">
        <is>
          <t>Not started</t>
        </is>
      </c>
      <c r="K33" s="27" t="inlineStr">
        <is>
          <t>Not approved</t>
        </is>
      </c>
      <c r="L33" s="17" t="inlineStr">
        <is>
          <t>Yes</t>
        </is>
      </c>
      <c r="M33" s="27" t="inlineStr">
        <is>
          <t>Approved minimal shared service bound to BOP v0.10: attributed pre-session arrivals carried into actual session view, owner events, versioned opening record, personal target proof, one-action empty outcome and terminal partial/never-held records. No standalone UI.</t>
        </is>
      </c>
      <c r="N33" s="27" t="inlineStr">
        <is>
          <t>BOP-CHG-001 v0.10 approved; KT-STD-001 v1.10 approved; TPR-CHG-001 v0.13 approved (v0.14 proposed); TRUST-ADR-001 v0.1 approved; LAW-V-001</t>
        </is>
      </c>
      <c r="O33" s="27" t="inlineStr">
        <is>
          <t>Approved 1 October 2026. Implement and verify the approved contract; retain existing release gates and open substantive findings.</t>
        </is>
      </c>
      <c r="P33" s="27" t="inlineStr">
        <is>
          <t>https://chatgpt.com/api/library/files/libfile_f70200e4567c8191b2aceb304a458557/download</t>
        </is>
      </c>
      <c r="Q33" s="17" t="n"/>
      <c r="R33" s="17" t="n"/>
      <c r="S33" s="17" t="n"/>
      <c r="T33" s="17" t="n"/>
      <c r="U33" s="17" t="n"/>
      <c r="V33" s="17" t="n"/>
      <c r="W33" s="17" t="n"/>
      <c r="X33" s="17" t="n"/>
      <c r="Y33" s="17" t="n"/>
      <c r="Z33" s="17" t="n"/>
    </row>
    <row r="34" ht="43.5" customHeight="1" s="15">
      <c r="A34" s="17" t="inlineStr">
        <is>
          <t>EVL-CHG-001</t>
        </is>
      </c>
      <c r="B34" s="27" t="inlineStr">
        <is>
          <t>Bid Evaluation</t>
        </is>
      </c>
      <c r="C34" s="17" t="inlineStr">
        <is>
          <t>0.4</t>
        </is>
      </c>
      <c r="D34" s="27" t="inlineStr">
        <is>
          <t>Bid Evaluation</t>
        </is>
      </c>
      <c r="E34" s="27" t="inlineStr">
        <is>
          <t>Module requirements</t>
        </is>
      </c>
      <c r="F34" s="27" t="inlineStr">
        <is>
          <t>Approved requirement</t>
        </is>
      </c>
      <c r="G34" s="33" t="n">
        <v>46295</v>
      </c>
      <c r="H34" s="27" t="inlineStr">
        <is>
          <t>v0.3 proposed detail; approved high-level automation approach retained</t>
        </is>
      </c>
      <c r="I34" s="27" t="inlineStr">
        <is>
          <t>In progress</t>
        </is>
      </c>
      <c r="J34" s="27" t="inlineStr">
        <is>
          <t>Pending</t>
        </is>
      </c>
      <c r="K34" s="27" t="inlineStr">
        <is>
          <t>Not approved</t>
        </is>
      </c>
      <c r="L34" s="17" t="inlineStr">
        <is>
          <t>Yes</t>
        </is>
      </c>
      <c r="M34" s="27" t="inlineStr">
        <is>
          <t>Automatic evaluation, focused committee review and signed report. Second-review corrections align commands, tasks, source issues, scope gates and dated fixtures.</t>
        </is>
      </c>
      <c r="N34" s="27" t="inlineStr">
        <is>
          <t>KT-STD-001 v1.12; BOP v0.10; BDS v0.8; PRC v0.9; TRUST v0.1; TPR v0.13; STD-TPL v0.10. Coordinated owner amendments drafted: PRC v0.10, TPR v0.15, BDS v0.10, KT-STD v1.13; approval/integration outstanding.</t>
        </is>
      </c>
      <c r="O34" s="27" t="inlineStr">
        <is>
          <t>Approved EVL v0.4 retained. Four coordinated owner successors drafted and linked in their register entries. Review amendments and implement/test the bindings; executable template rules and legal/Trust work remain open. Gate 1 unchanged. SEED-OPS v1.18 reports a built canonical stage; this supports In progress, not full implementation or acceptance completion. Verify module-wide evidence under AUD-020.</t>
        </is>
      </c>
      <c r="P34" s="27" t="inlineStr">
        <is>
          <t>https://chatgpt.com/api/library/files/libfile_afeac7a8387c81918c95b97accf8734e/download</t>
        </is>
      </c>
      <c r="Q34" s="17" t="n"/>
      <c r="R34" s="17" t="n"/>
      <c r="S34" s="17" t="n"/>
      <c r="T34" s="17" t="n"/>
      <c r="U34" s="17" t="n"/>
      <c r="V34" s="17" t="n"/>
      <c r="W34" s="17" t="n"/>
      <c r="X34" s="17" t="n"/>
      <c r="Y34" s="17" t="n"/>
      <c r="Z34" s="17" t="n"/>
    </row>
    <row r="35" ht="43.5" customHeight="1" s="15">
      <c r="A35" s="17" t="inlineStr">
        <is>
          <t>AWD-CHG-001</t>
        </is>
      </c>
      <c r="B35" s="27" t="inlineStr">
        <is>
          <t>Award</t>
        </is>
      </c>
      <c r="C35" s="17" t="inlineStr">
        <is>
          <t>0.4</t>
        </is>
      </c>
      <c r="D35" s="27" t="inlineStr">
        <is>
          <t>Award</t>
        </is>
      </c>
      <c r="E35" s="27" t="inlineStr">
        <is>
          <t>Module requirements</t>
        </is>
      </c>
      <c r="F35" s="27" t="inlineStr">
        <is>
          <t>Approved requirement</t>
        </is>
      </c>
      <c r="G35" s="33" t="n">
        <v>46296</v>
      </c>
      <c r="H35" s="27" t="inlineStr">
        <is>
          <t>v0.3; prior versions retained</t>
        </is>
      </c>
      <c r="I35" s="27" t="inlineStr">
        <is>
          <t>In progress</t>
        </is>
      </c>
      <c r="J35" s="27" t="inlineStr">
        <is>
          <t>Pending</t>
        </is>
      </c>
      <c r="K35" s="27" t="inlineStr">
        <is>
          <t>Not approved</t>
        </is>
      </c>
      <c r="L35" s="17" t="inlineStr">
        <is>
          <t>Yes</t>
        </is>
      </c>
      <c r="M35" s="27" t="inlineStr">
        <is>
          <t>Professional opinion, AO decision, bidder notices, acceptance, waiting conditions and delivery to Contracting.</t>
        </is>
      </c>
      <c r="N35" s="27" t="inlineStr">
        <is>
          <t>EVL v0.4; STD-TPL v0.10; KT-STD v1.12; TPR v0.13; BDS v0.8; PRC v0.9; TRUST v0.1; effective AUTH/Budget. Proposed owner interfaces: AWD-IF-01–07.</t>
        </is>
      </c>
      <c r="O35" s="27" t="inlineStr">
        <is>
          <t>Approved 1 October 2026. Implement and verify the approved contract; retain existing release gates and open substantive findings.</t>
        </is>
      </c>
      <c r="P35" s="27" t="inlineStr">
        <is>
          <t>https://chatgpt.com/api/library/files/libfile_6c148e829bc08191aa40b7f399460732/download</t>
        </is>
      </c>
      <c r="Q35" s="17" t="n"/>
      <c r="R35" s="17" t="n"/>
      <c r="S35" s="17" t="n"/>
      <c r="T35" s="17" t="n"/>
      <c r="U35" s="17" t="n"/>
      <c r="V35" s="17" t="n"/>
      <c r="W35" s="17" t="n"/>
      <c r="X35" s="17" t="n"/>
      <c r="Y35" s="17" t="n"/>
      <c r="Z35" s="17" t="n"/>
    </row>
    <row r="36" ht="15" customHeight="1" s="15">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 customHeight="1" s="15">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 customHeight="1" s="15">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 customHeight="1" s="15">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 customHeight="1" s="15">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15" customHeight="1" s="15">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 customHeight="1" s="15">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 customHeight="1" s="15">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 customHeight="1" s="15">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 customHeight="1" s="1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 customHeight="1" s="15">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 customHeight="1" s="15">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 customHeight="1" s="15">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 customHeight="1" s="15">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 customHeight="1" s="15">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row>
    <row r="51" ht="15" customHeight="1" s="15">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row>
    <row r="52" ht="15" customHeight="1" s="15">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row>
    <row r="53" ht="15" customHeight="1" s="15">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row>
    <row r="54" ht="15" customHeight="1" s="15">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row>
    <row r="55" ht="15" customHeight="1" s="1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row>
    <row r="56" ht="15" customHeight="1" s="15">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row>
    <row r="57" ht="15" customHeight="1" s="15">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row>
    <row r="58" ht="15" customHeight="1" s="15">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row>
    <row r="59" ht="15" customHeight="1" s="15">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row>
    <row r="60" ht="15" customHeight="1" s="15">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row>
    <row r="61" ht="15" customHeight="1" s="15">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row>
    <row r="62" ht="15" customHeight="1" s="15">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row>
    <row r="63" ht="15" customHeight="1" s="15">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row>
    <row r="64" ht="15" customHeight="1" s="15">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row>
    <row r="65" ht="15" customHeight="1" s="15">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row>
    <row r="66" ht="15" customHeight="1" s="15">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row>
    <row r="67" ht="15" customHeight="1" s="15">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row>
    <row r="68" ht="15" customHeight="1" s="15">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row>
    <row r="69" ht="15" customHeight="1" s="15">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row>
    <row r="70" ht="15" customHeight="1" s="15">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row>
    <row r="71" ht="15" customHeight="1" s="15">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row>
    <row r="72" ht="15" customHeight="1" s="15">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row>
    <row r="73" ht="15" customHeight="1" s="15">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row>
    <row r="74" ht="15" customHeight="1" s="15">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row>
    <row r="75" ht="15" customHeight="1" s="15">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row>
    <row r="76" ht="15" customHeight="1" s="15">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row>
    <row r="77" ht="15" customHeight="1" s="15">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row>
    <row r="78" ht="15" customHeight="1" s="15">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row>
    <row r="79" ht="15" customHeight="1" s="15">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row>
    <row r="80" ht="15" customHeight="1" s="15">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row>
    <row r="81" ht="15" customHeight="1" s="15">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row>
    <row r="82" ht="15" customHeight="1" s="15">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row>
    <row r="83" ht="15" customHeight="1" s="15">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row>
    <row r="84" ht="15" customHeight="1" s="15">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row>
    <row r="85" ht="15" customHeight="1" s="15">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row>
    <row r="86" ht="15" customHeight="1" s="15">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row>
    <row r="87" ht="15" customHeight="1" s="15">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row>
    <row r="88" ht="15" customHeight="1" s="15">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row>
    <row r="89" ht="15" customHeight="1" s="15">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row>
    <row r="90" ht="15" customHeight="1" s="15">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row>
    <row r="91" ht="15" customHeight="1" s="15">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row>
    <row r="92" ht="15" customHeight="1" s="15">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row>
    <row r="93" ht="15" customHeight="1" s="15">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row>
    <row r="94" ht="15" customHeight="1" s="15">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row>
    <row r="95" ht="15" customHeight="1" s="15">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row>
    <row r="96" ht="15" customHeight="1" s="15">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row>
    <row r="97" ht="15" customHeight="1" s="15">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row>
    <row r="98" ht="15" customHeight="1" s="15">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row>
    <row r="99" ht="15" customHeight="1" s="15">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row>
    <row r="100" ht="15" customHeight="1" s="15">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row>
    <row r="101" ht="15" customHeight="1" s="15">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row>
    <row r="102" ht="15" customHeight="1" s="15">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row>
    <row r="103" ht="15" customHeight="1" s="15">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row>
    <row r="104" ht="15" customHeight="1" s="15">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row>
    <row r="105" ht="15" customHeight="1" s="15">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row>
    <row r="106" ht="15" customHeight="1" s="15">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row>
    <row r="107" ht="15" customHeight="1" s="15">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row>
    <row r="108" ht="15" customHeight="1" s="15">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row>
    <row r="109" ht="15" customHeight="1" s="15">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row>
    <row r="110" ht="15" customHeight="1" s="15">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row>
    <row r="111" ht="15" customHeight="1" s="15">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row>
    <row r="112" ht="15" customHeight="1" s="15">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row>
    <row r="113" ht="15" customHeight="1" s="15">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row>
    <row r="114" ht="15" customHeight="1" s="15">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row>
    <row r="115" ht="15" customHeight="1" s="15">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row>
    <row r="116" ht="15" customHeight="1" s="15">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row>
    <row r="117" ht="15" customHeight="1" s="15">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row>
    <row r="118" ht="15" customHeight="1" s="15">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row>
    <row r="119" ht="15" customHeight="1" s="15">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row>
    <row r="120" ht="15" customHeight="1" s="15">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row>
    <row r="121" ht="15" customHeight="1" s="15">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row>
    <row r="122" ht="15" customHeight="1" s="15">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row>
    <row r="123" ht="15" customHeight="1" s="15">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row>
    <row r="124" ht="15" customHeight="1" s="15">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row>
    <row r="125" ht="15" customHeight="1" s="15">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row>
    <row r="126" ht="15" customHeight="1" s="15">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row>
    <row r="127" ht="15" customHeight="1" s="15">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row>
    <row r="128" ht="15" customHeight="1" s="15">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row>
    <row r="129" ht="15" customHeight="1" s="15">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row>
    <row r="130" ht="15" customHeight="1" s="15">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row>
    <row r="131" ht="15" customHeight="1" s="15">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row>
    <row r="132" ht="15" customHeight="1" s="15">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row>
    <row r="133" ht="15" customHeight="1" s="15">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row>
    <row r="134" ht="15" customHeight="1" s="15">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row>
    <row r="135" ht="15" customHeight="1" s="15">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row>
    <row r="136" ht="15" customHeight="1" s="15">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row>
    <row r="137" ht="15" customHeight="1" s="15">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row>
    <row r="138" ht="15" customHeight="1" s="15">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row>
    <row r="139" ht="15" customHeight="1" s="15">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row>
    <row r="140" ht="15" customHeight="1" s="15">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row>
    <row r="141" ht="15" customHeight="1" s="15">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row>
    <row r="142" ht="15" customHeight="1" s="15">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row>
    <row r="143" ht="15" customHeight="1" s="15">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row>
    <row r="144" ht="15" customHeight="1" s="15">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row>
    <row r="145" ht="15" customHeight="1" s="15">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row>
    <row r="146" ht="15" customHeight="1" s="15">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row>
    <row r="147" ht="15" customHeight="1" s="15">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row>
    <row r="148" ht="15" customHeight="1" s="15">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row>
    <row r="149" ht="15" customHeight="1" s="15">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row>
    <row r="150" ht="15" customHeight="1" s="15">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row>
    <row r="151" ht="15" customHeight="1" s="15">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row>
    <row r="152" ht="15" customHeight="1" s="15">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row>
    <row r="153" ht="15" customHeight="1" s="15">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row>
    <row r="154" ht="15" customHeight="1" s="15">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row>
    <row r="155" ht="15" customHeight="1" s="15">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row>
    <row r="156" ht="15" customHeight="1" s="15">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row>
    <row r="157" ht="15" customHeight="1" s="15">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row>
    <row r="158" ht="15" customHeight="1" s="15">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row>
    <row r="159" ht="15" customHeight="1" s="15">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row>
    <row r="160" ht="15" customHeight="1" s="15">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row>
    <row r="161" ht="15" customHeight="1" s="15">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row>
    <row r="162" ht="15" customHeight="1" s="15">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row>
    <row r="163" ht="15" customHeight="1" s="15">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row>
    <row r="164" ht="15" customHeight="1" s="15">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row>
    <row r="165" ht="15" customHeight="1" s="15">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row>
    <row r="166" ht="15" customHeight="1" s="15">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row>
    <row r="167" ht="15" customHeight="1" s="15">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row>
    <row r="168" ht="15" customHeight="1" s="15">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row>
    <row r="169" ht="15" customHeight="1" s="15">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row>
    <row r="170" ht="15" customHeight="1" s="15">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row>
    <row r="171" ht="15" customHeight="1" s="15">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row>
    <row r="172" ht="15" customHeight="1" s="15">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row>
    <row r="173" ht="15" customHeight="1" s="15">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row>
    <row r="174" ht="15" customHeight="1" s="15">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row>
    <row r="175" ht="15" customHeight="1" s="15">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row>
    <row r="176" ht="15" customHeight="1" s="15">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row>
    <row r="177" ht="15" customHeight="1" s="15">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row>
    <row r="178" ht="15" customHeight="1" s="15">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row>
    <row r="179" ht="15" customHeight="1" s="15">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row>
    <row r="180" ht="15" customHeight="1" s="15">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row>
    <row r="181" ht="15" customHeight="1" s="15">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row>
    <row r="182" ht="15" customHeight="1" s="15">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row>
    <row r="183" ht="15" customHeight="1" s="15">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row>
    <row r="184" ht="15" customHeight="1" s="15">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row>
    <row r="185" ht="15" customHeight="1" s="15">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row>
    <row r="186" ht="15" customHeight="1" s="15">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row>
    <row r="187" ht="15" customHeight="1" s="15">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row>
    <row r="188" ht="15" customHeight="1" s="15">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row>
    <row r="189" ht="15" customHeight="1" s="15">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row>
    <row r="190" ht="15" customHeight="1" s="15">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row>
    <row r="191" ht="15" customHeight="1" s="15">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row>
    <row r="192" ht="15" customHeight="1" s="15">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row>
    <row r="193" ht="15" customHeight="1" s="15">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row>
    <row r="194" ht="15" customHeight="1" s="15">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row>
    <row r="195" ht="15" customHeight="1" s="15">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row>
    <row r="196" ht="15" customHeight="1" s="15">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row>
    <row r="197" ht="15" customHeight="1" s="15">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row>
    <row r="198" ht="15" customHeight="1" s="15">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row>
    <row r="199" ht="15" customHeight="1" s="15">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row>
    <row r="200" ht="15" customHeight="1" s="15">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row>
  </sheetData>
  <mergeCells count="2">
    <mergeCell ref="A1:P1"/>
    <mergeCell ref="A2:P2"/>
  </mergeCells>
  <conditionalFormatting sqref="F6:F35">
    <cfRule type="containsText" rank="0" priority="2" equalAverage="0" operator="containsText" aboveAverage="0" dxfId="13" text="Approved" percent="0" bottom="0">
      <formula>NOT(ISERROR(SEARCH("Approved",F6)))</formula>
    </cfRule>
    <cfRule type="containsText" rank="0" priority="3" equalAverage="0" operator="containsText" aboveAverage="0" dxfId="13" text="Passed" percent="0" bottom="0">
      <formula>NOT(ISERROR(SEARCH("Passed",F6)))</formula>
    </cfRule>
    <cfRule type="containsText" rank="0" priority="4" equalAverage="0" operator="containsText" aboveAverage="0" dxfId="13" text="Released" percent="0" bottom="0">
      <formula>NOT(ISERROR(SEARCH("Released",F6)))</formula>
    </cfRule>
    <cfRule type="containsText" rank="0" priority="5" equalAverage="0" operator="containsText" aboveAverage="0" dxfId="1" text="Project Owner review" percent="0" bottom="0">
      <formula>NOT(ISERROR(SEARCH("Project Owner review",F6)))</formula>
    </cfRule>
    <cfRule type="containsText" rank="0" priority="6" equalAverage="0" operator="containsText" aboveAverage="0" dxfId="14" text="Pending" percent="0" bottom="0">
      <formula>NOT(ISERROR(SEARCH("Pending",F6)))</formula>
    </cfRule>
    <cfRule type="containsText" rank="0" priority="7" equalAverage="0" operator="containsText" aboveAverage="0" dxfId="0" text="Blocked" percent="0" bottom="0">
      <formula>NOT(ISERROR(SEARCH("Blocked",F6)))</formula>
    </cfRule>
    <cfRule type="containsText" rank="0" priority="8" equalAverage="0" operator="containsText" aboveAverage="0" dxfId="0" text="unresolved" percent="0" bottom="0">
      <formula>NOT(ISERROR(SEARCH("unresolved",F6)))</formula>
    </cfRule>
    <cfRule type="containsText" rank="0" priority="9" equalAverage="0" operator="containsText" aboveAverage="0" dxfId="15" text="Not started" percent="0" bottom="0">
      <formula>NOT(ISERROR(SEARCH("Not started",F6)))</formula>
    </cfRule>
    <cfRule type="containsText" rank="0" priority="10" equalAverage="0" operator="containsText" aboveAverage="0" dxfId="15" text="Not evidenced" percent="0" bottom="0">
      <formula>NOT(ISERROR(SEARCH("Not evidenced",F6)))</formula>
    </cfRule>
  </conditionalFormatting>
  <conditionalFormatting sqref="I6:I35">
    <cfRule type="containsText" rank="0" priority="11" equalAverage="0" operator="containsText" aboveAverage="0" dxfId="13" text="Approved" percent="0" bottom="0">
      <formula>NOT(ISERROR(SEARCH("Approved",I6)))</formula>
    </cfRule>
    <cfRule type="containsText" rank="0" priority="12" equalAverage="0" operator="containsText" aboveAverage="0" dxfId="13" text="Passed" percent="0" bottom="0">
      <formula>NOT(ISERROR(SEARCH("Passed",I6)))</formula>
    </cfRule>
    <cfRule type="containsText" rank="0" priority="13" equalAverage="0" operator="containsText" aboveAverage="0" dxfId="13" text="Released" percent="0" bottom="0">
      <formula>NOT(ISERROR(SEARCH("Released",I6)))</formula>
    </cfRule>
    <cfRule type="containsText" rank="0" priority="14" equalAverage="0" operator="containsText" aboveAverage="0" dxfId="1" text="Project Owner review" percent="0" bottom="0">
      <formula>NOT(ISERROR(SEARCH("Project Owner review",I6)))</formula>
    </cfRule>
    <cfRule type="containsText" rank="0" priority="15" equalAverage="0" operator="containsText" aboveAverage="0" dxfId="14" text="Pending" percent="0" bottom="0">
      <formula>NOT(ISERROR(SEARCH("Pending",I6)))</formula>
    </cfRule>
    <cfRule type="containsText" rank="0" priority="16" equalAverage="0" operator="containsText" aboveAverage="0" dxfId="0" text="Blocked" percent="0" bottom="0">
      <formula>NOT(ISERROR(SEARCH("Blocked",I6)))</formula>
    </cfRule>
    <cfRule type="containsText" rank="0" priority="17" equalAverage="0" operator="containsText" aboveAverage="0" dxfId="0" text="unresolved" percent="0" bottom="0">
      <formula>NOT(ISERROR(SEARCH("unresolved",I6)))</formula>
    </cfRule>
    <cfRule type="containsText" rank="0" priority="18" equalAverage="0" operator="containsText" aboveAverage="0" dxfId="15" text="Not started" percent="0" bottom="0">
      <formula>NOT(ISERROR(SEARCH("Not started",I6)))</formula>
    </cfRule>
    <cfRule type="containsText" rank="0" priority="19" equalAverage="0" operator="containsText" aboveAverage="0" dxfId="15" text="Not evidenced" percent="0" bottom="0">
      <formula>NOT(ISERROR(SEARCH("Not evidenced",I6)))</formula>
    </cfRule>
  </conditionalFormatting>
  <conditionalFormatting sqref="J6:J35">
    <cfRule type="containsText" rank="0" priority="20" equalAverage="0" operator="containsText" aboveAverage="0" dxfId="13" text="Approved" percent="0" bottom="0">
      <formula>NOT(ISERROR(SEARCH("Approved",J6)))</formula>
    </cfRule>
    <cfRule type="containsText" rank="0" priority="21" equalAverage="0" operator="containsText" aboveAverage="0" dxfId="13" text="Passed" percent="0" bottom="0">
      <formula>NOT(ISERROR(SEARCH("Passed",J6)))</formula>
    </cfRule>
    <cfRule type="containsText" rank="0" priority="22" equalAverage="0" operator="containsText" aboveAverage="0" dxfId="13" text="Released" percent="0" bottom="0">
      <formula>NOT(ISERROR(SEARCH("Released",J6)))</formula>
    </cfRule>
    <cfRule type="containsText" rank="0" priority="23" equalAverage="0" operator="containsText" aboveAverage="0" dxfId="1" text="Project Owner review" percent="0" bottom="0">
      <formula>NOT(ISERROR(SEARCH("Project Owner review",J6)))</formula>
    </cfRule>
    <cfRule type="containsText" rank="0" priority="24" equalAverage="0" operator="containsText" aboveAverage="0" dxfId="14" text="Pending" percent="0" bottom="0">
      <formula>NOT(ISERROR(SEARCH("Pending",J6)))</formula>
    </cfRule>
    <cfRule type="containsText" rank="0" priority="25" equalAverage="0" operator="containsText" aboveAverage="0" dxfId="0" text="Blocked" percent="0" bottom="0">
      <formula>NOT(ISERROR(SEARCH("Blocked",J6)))</formula>
    </cfRule>
    <cfRule type="containsText" rank="0" priority="26" equalAverage="0" operator="containsText" aboveAverage="0" dxfId="0" text="unresolved" percent="0" bottom="0">
      <formula>NOT(ISERROR(SEARCH("unresolved",J6)))</formula>
    </cfRule>
    <cfRule type="containsText" rank="0" priority="27" equalAverage="0" operator="containsText" aboveAverage="0" dxfId="15" text="Not started" percent="0" bottom="0">
      <formula>NOT(ISERROR(SEARCH("Not started",J6)))</formula>
    </cfRule>
    <cfRule type="containsText" rank="0" priority="28" equalAverage="0" operator="containsText" aboveAverage="0" dxfId="15" text="Not evidenced" percent="0" bottom="0">
      <formula>NOT(ISERROR(SEARCH("Not evidenced",J6)))</formula>
    </cfRule>
  </conditionalFormatting>
  <conditionalFormatting sqref="K6:K35">
    <cfRule type="containsText" rank="0" priority="29" equalAverage="0" operator="containsText" aboveAverage="0" dxfId="13" text="Approved" percent="0" bottom="0">
      <formula>NOT(ISERROR(SEARCH("Approved",K6)))</formula>
    </cfRule>
    <cfRule type="containsText" rank="0" priority="30" equalAverage="0" operator="containsText" aboveAverage="0" dxfId="13" text="Passed" percent="0" bottom="0">
      <formula>NOT(ISERROR(SEARCH("Passed",K6)))</formula>
    </cfRule>
    <cfRule type="containsText" rank="0" priority="31" equalAverage="0" operator="containsText" aboveAverage="0" dxfId="13" text="Released" percent="0" bottom="0">
      <formula>NOT(ISERROR(SEARCH("Released",K6)))</formula>
    </cfRule>
    <cfRule type="containsText" rank="0" priority="32" equalAverage="0" operator="containsText" aboveAverage="0" dxfId="1" text="Project Owner review" percent="0" bottom="0">
      <formula>NOT(ISERROR(SEARCH("Project Owner review",K6)))</formula>
    </cfRule>
    <cfRule type="containsText" rank="0" priority="33" equalAverage="0" operator="containsText" aboveAverage="0" dxfId="14" text="Pending" percent="0" bottom="0">
      <formula>NOT(ISERROR(SEARCH("Pending",K6)))</formula>
    </cfRule>
    <cfRule type="containsText" rank="0" priority="34" equalAverage="0" operator="containsText" aboveAverage="0" dxfId="0" text="Blocked" percent="0" bottom="0">
      <formula>NOT(ISERROR(SEARCH("Blocked",K6)))</formula>
    </cfRule>
    <cfRule type="containsText" rank="0" priority="35" equalAverage="0" operator="containsText" aboveAverage="0" dxfId="0" text="unresolved" percent="0" bottom="0">
      <formula>NOT(ISERROR(SEARCH("unresolved",K6)))</formula>
    </cfRule>
    <cfRule type="containsText" rank="0" priority="36" equalAverage="0" operator="containsText" aboveAverage="0" dxfId="15" text="Not started" percent="0" bottom="0">
      <formula>NOT(ISERROR(SEARCH("Not started",K6)))</formula>
    </cfRule>
    <cfRule type="containsText" rank="0" priority="37" equalAverage="0" operator="containsText" aboveAverage="0" dxfId="15" text="Not evidenced" percent="0" bottom="0">
      <formula>NOT(ISERROR(SEARCH("Not evidenced",K6)))</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tabColor rgb="FF4472C4"/>
    <outlinePr summaryBelow="1" summaryRight="1"/>
    <pageSetUpPr fitToPage="0"/>
  </sheetPr>
  <dimension ref="A1:Z20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13" customWidth="1" style="14" min="1" max="1"/>
    <col width="23" customWidth="1" style="14" min="2" max="3"/>
    <col width="48" customWidth="1" style="14" min="4" max="4"/>
    <col width="22" customWidth="1" style="14" min="5" max="5"/>
    <col width="18" customWidth="1" style="14" min="6" max="6"/>
    <col width="16" customWidth="1" style="14" min="7" max="7"/>
    <col width="37" customWidth="1" style="14" min="8" max="8"/>
    <col width="50" customWidth="1" style="14" min="9" max="9"/>
  </cols>
  <sheetData>
    <row r="1" ht="37.5" customHeight="1" s="15">
      <c r="A1" s="16" t="inlineStr">
        <is>
          <t>Cross-module interfaces</t>
        </is>
      </c>
      <c r="J1" s="17" t="n"/>
      <c r="K1" s="17" t="n"/>
      <c r="L1" s="17" t="n"/>
      <c r="M1" s="17" t="n"/>
      <c r="N1" s="17" t="n"/>
      <c r="O1" s="17" t="n"/>
      <c r="P1" s="17" t="n"/>
      <c r="Q1" s="17" t="n"/>
      <c r="R1" s="17" t="n"/>
      <c r="S1" s="17" t="n"/>
      <c r="T1" s="17" t="n"/>
      <c r="U1" s="17" t="n"/>
      <c r="V1" s="17" t="n"/>
      <c r="W1" s="17" t="n"/>
      <c r="X1" s="17" t="n"/>
      <c r="Y1" s="17" t="n"/>
      <c r="Z1" s="17" t="n"/>
    </row>
    <row r="2" ht="33.75" customHeight="1" s="15">
      <c r="A2" s="18" t="inlineStr">
        <is>
          <t>Every handoff has an upstream owner, downstream consumer, exact contract and failure rule. A document cannot be considered complete if a required interface remains unresolved.</t>
        </is>
      </c>
      <c r="J2" s="17" t="n"/>
      <c r="K2" s="17" t="n"/>
      <c r="L2" s="17" t="n"/>
      <c r="M2" s="17" t="n"/>
      <c r="N2" s="17" t="n"/>
      <c r="O2" s="17" t="n"/>
      <c r="P2" s="17" t="n"/>
      <c r="Q2" s="17" t="n"/>
      <c r="R2" s="17" t="n"/>
      <c r="S2" s="17" t="n"/>
      <c r="T2" s="17" t="n"/>
      <c r="U2" s="17" t="n"/>
      <c r="V2" s="17" t="n"/>
      <c r="W2" s="17" t="n"/>
      <c r="X2" s="17" t="n"/>
      <c r="Y2" s="17" t="n"/>
      <c r="Z2" s="17" t="n"/>
    </row>
    <row r="3" ht="15" customHeight="1" s="15">
      <c r="A3" s="17" t="n"/>
      <c r="B3" s="17" t="n"/>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ht="15" customHeight="1" s="15">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row>
    <row r="5" ht="36" customHeight="1" s="15">
      <c r="A5" s="32" t="inlineStr">
        <is>
          <t>Interface ID</t>
        </is>
      </c>
      <c r="B5" s="32" t="inlineStr">
        <is>
          <t>Upstream owner</t>
        </is>
      </c>
      <c r="C5" s="32" t="inlineStr">
        <is>
          <t>Downstream consumer</t>
        </is>
      </c>
      <c r="D5" s="32" t="inlineStr">
        <is>
          <t>Contract / artifact</t>
        </is>
      </c>
      <c r="E5" s="32" t="inlineStr">
        <is>
          <t>Requirement status</t>
        </is>
      </c>
      <c r="F5" s="32" t="inlineStr">
        <is>
          <t>Implementation</t>
        </is>
      </c>
      <c r="G5" s="32" t="inlineStr">
        <is>
          <t>Test status</t>
        </is>
      </c>
      <c r="H5" s="32" t="inlineStr">
        <is>
          <t>Owning documents</t>
        </is>
      </c>
      <c r="I5" s="32" t="inlineStr">
        <is>
          <t>Failure rule</t>
        </is>
      </c>
      <c r="J5" s="17" t="n"/>
      <c r="K5" s="17" t="n"/>
      <c r="L5" s="17" t="n"/>
      <c r="M5" s="17" t="n"/>
      <c r="N5" s="17" t="n"/>
      <c r="O5" s="17" t="n"/>
      <c r="P5" s="17" t="n"/>
      <c r="Q5" s="17" t="n"/>
      <c r="R5" s="17" t="n"/>
      <c r="S5" s="17" t="n"/>
      <c r="T5" s="17" t="n"/>
      <c r="U5" s="17" t="n"/>
      <c r="V5" s="17" t="n"/>
      <c r="W5" s="17" t="n"/>
      <c r="X5" s="17" t="n"/>
      <c r="Y5" s="17" t="n"/>
      <c r="Z5" s="17" t="n"/>
    </row>
    <row r="6" ht="43.5" customHeight="1" s="15">
      <c r="A6" s="17" t="inlineStr">
        <is>
          <t>IF-001</t>
        </is>
      </c>
      <c r="B6" s="27" t="inlineStr">
        <is>
          <t>Strategy Alignment</t>
        </is>
      </c>
      <c r="C6" s="27" t="inlineStr">
        <is>
          <t>Procurement Planning</t>
        </is>
      </c>
      <c r="D6" s="27" t="inlineStr">
        <is>
          <t>Accepted objective reference and immutable strategy snapshot</t>
        </is>
      </c>
      <c r="E6" s="27" t="inlineStr">
        <is>
          <t>Closed in requirements</t>
        </is>
      </c>
      <c r="F6" s="27" t="inlineStr">
        <is>
          <t>Not evidenced</t>
        </is>
      </c>
      <c r="G6" s="27" t="inlineStr">
        <is>
          <t>Not evidenced</t>
        </is>
      </c>
      <c r="H6" s="27" t="inlineStr">
        <is>
          <t>STR-CHG-001 v1.8 / PLN-CHG-001 v1.27</t>
        </is>
      </c>
      <c r="I6" s="27" t="inlineStr">
        <is>
          <t>Planning must not invent or silently rewrite strategy evidence.</t>
        </is>
      </c>
      <c r="J6" s="17" t="n"/>
      <c r="K6" s="17" t="n"/>
      <c r="L6" s="17" t="n"/>
      <c r="M6" s="17" t="n"/>
      <c r="N6" s="17" t="n"/>
      <c r="O6" s="17" t="n"/>
      <c r="P6" s="17" t="n"/>
      <c r="Q6" s="17" t="n"/>
      <c r="R6" s="17" t="n"/>
      <c r="S6" s="17" t="n"/>
      <c r="T6" s="17" t="n"/>
      <c r="U6" s="17" t="n"/>
      <c r="V6" s="17" t="n"/>
      <c r="W6" s="17" t="n"/>
      <c r="X6" s="17" t="n"/>
      <c r="Y6" s="17" t="n"/>
      <c r="Z6" s="17" t="n"/>
    </row>
    <row r="7" ht="43.5" customHeight="1" s="15">
      <c r="A7" s="17" t="inlineStr">
        <is>
          <t>IF-002</t>
        </is>
      </c>
      <c r="B7" s="27" t="inlineStr">
        <is>
          <t>Budget and Funding</t>
        </is>
      </c>
      <c r="C7" s="27" t="inlineStr">
        <is>
          <t>Procurement Planning</t>
        </is>
      </c>
      <c r="D7" s="27" t="inlineStr">
        <is>
          <t>Funding ceiling, budget line and affordability facts</t>
        </is>
      </c>
      <c r="E7" s="27" t="inlineStr">
        <is>
          <t>Closed in requirements</t>
        </is>
      </c>
      <c r="F7" s="27" t="inlineStr">
        <is>
          <t>Not evidenced</t>
        </is>
      </c>
      <c r="G7" s="27" t="inlineStr">
        <is>
          <t>Not evidenced</t>
        </is>
      </c>
      <c r="H7" s="27" t="inlineStr">
        <is>
          <t>BUD-CHG-001 v1.11 / PLN-CHG-001 v1.27</t>
        </is>
      </c>
      <c r="I7" s="27" t="inlineStr">
        <is>
          <t>Budget facts must not be repurposed as the APP reservation denominator.</t>
        </is>
      </c>
      <c r="J7" s="17" t="n"/>
      <c r="K7" s="17" t="n"/>
      <c r="L7" s="17" t="n"/>
      <c r="M7" s="17" t="n"/>
      <c r="N7" s="17" t="n"/>
      <c r="O7" s="17" t="n"/>
      <c r="P7" s="17" t="n"/>
      <c r="Q7" s="17" t="n"/>
      <c r="R7" s="17" t="n"/>
      <c r="S7" s="17" t="n"/>
      <c r="T7" s="17" t="n"/>
      <c r="U7" s="17" t="n"/>
      <c r="V7" s="17" t="n"/>
      <c r="W7" s="17" t="n"/>
      <c r="X7" s="17" t="n"/>
      <c r="Y7" s="17" t="n"/>
      <c r="Z7" s="17" t="n"/>
    </row>
    <row r="8" ht="43.5" customHeight="1" s="15">
      <c r="A8" s="17" t="inlineStr">
        <is>
          <t>IF-003</t>
        </is>
      </c>
      <c r="B8" s="27" t="inlineStr">
        <is>
          <t>Departmental Needs</t>
        </is>
      </c>
      <c r="C8" s="27" t="inlineStr">
        <is>
          <t>Procurement Planning</t>
        </is>
      </c>
      <c r="D8" s="27" t="inlineStr">
        <is>
          <t>Accepted requirement identity, quantity, unit, required-by date and planning disposition</t>
        </is>
      </c>
      <c r="E8" s="27" t="inlineStr">
        <is>
          <t>Closed in requirements</t>
        </is>
      </c>
      <c r="F8" s="27" t="inlineStr">
        <is>
          <t>Not evidenced</t>
        </is>
      </c>
      <c r="G8" s="27" t="inlineStr">
        <is>
          <t>Not evidenced</t>
        </is>
      </c>
      <c r="H8" s="27" t="inlineStr">
        <is>
          <t>NDS-CHG-001 v1.14 / PLN-CHG-001 v1.27</t>
        </is>
      </c>
      <c r="I8" s="27" t="inlineStr">
        <is>
          <t>A need cannot be subsumed into a plan item whose fulfilment path is already unavailable.</t>
        </is>
      </c>
      <c r="J8" s="17" t="n"/>
      <c r="K8" s="17" t="n"/>
      <c r="L8" s="17" t="n"/>
      <c r="M8" s="17" t="n"/>
      <c r="N8" s="17" t="n"/>
      <c r="O8" s="17" t="n"/>
      <c r="P8" s="17" t="n"/>
      <c r="Q8" s="17" t="n"/>
      <c r="R8" s="17" t="n"/>
      <c r="S8" s="17" t="n"/>
      <c r="T8" s="17" t="n"/>
      <c r="U8" s="17" t="n"/>
      <c r="V8" s="17" t="n"/>
      <c r="W8" s="17" t="n"/>
      <c r="X8" s="17" t="n"/>
      <c r="Y8" s="17" t="n"/>
      <c r="Z8" s="17" t="n"/>
    </row>
    <row r="9" ht="43.5" customHeight="1" s="15">
      <c r="A9" s="17" t="inlineStr">
        <is>
          <t>IF-004</t>
        </is>
      </c>
      <c r="B9" s="27" t="inlineStr">
        <is>
          <t>Procurement Planning</t>
        </is>
      </c>
      <c r="C9" s="27" t="inlineStr">
        <is>
          <t>Procurement Requisitions</t>
        </is>
      </c>
      <c r="D9" s="27" t="inlineStr">
        <is>
          <t>Activated plan item plus REQ-owned Purchase ready for requisition hand-off, preserving allocations, classification, method, schedule, lots and reservation treatment</t>
        </is>
      </c>
      <c r="E9" s="27" t="inlineStr">
        <is>
          <t>Closed in requirements</t>
        </is>
      </c>
      <c r="F9" s="27" t="inlineStr">
        <is>
          <t>Not evidenced</t>
        </is>
      </c>
      <c r="G9" s="27" t="inlineStr">
        <is>
          <t>Not evidenced</t>
        </is>
      </c>
      <c r="H9" s="27" t="inlineStr">
        <is>
          <t>PLN-CHG-001 v1.27 / REQ-CHG-001 v1.12</t>
        </is>
      </c>
      <c r="I9" s="27" t="inlineStr">
        <is>
          <t>Requisition must preserve approved planning facts, expose lawful corrections explicitly and must not invent a parallel task or approval state.</t>
        </is>
      </c>
      <c r="J9" s="17" t="n"/>
      <c r="K9" s="17" t="n"/>
      <c r="L9" s="17" t="n"/>
      <c r="M9" s="17" t="n"/>
      <c r="N9" s="17" t="n"/>
      <c r="O9" s="17" t="n"/>
      <c r="P9" s="17" t="n"/>
      <c r="Q9" s="17" t="n"/>
      <c r="R9" s="17" t="n"/>
      <c r="S9" s="17" t="n"/>
      <c r="T9" s="17" t="n"/>
      <c r="U9" s="17" t="n"/>
      <c r="V9" s="17" t="n"/>
      <c r="W9" s="17" t="n"/>
      <c r="X9" s="17" t="n"/>
      <c r="Y9" s="17" t="n"/>
      <c r="Z9" s="17" t="n"/>
    </row>
    <row r="10" ht="43.5" customHeight="1" s="15">
      <c r="A10" s="17" t="inlineStr">
        <is>
          <t>IF-005</t>
        </is>
      </c>
      <c r="B10" s="27" t="inlineStr">
        <is>
          <t>Procurement Requisitions</t>
        </is>
      </c>
      <c r="C10" s="27" t="inlineStr">
        <is>
          <t>Tenders</t>
        </is>
      </c>
      <c r="D10" s="27" t="inlineStr">
        <is>
          <t>AuthorizedRequisitionHandoff</t>
        </is>
      </c>
      <c r="E10" s="27" t="inlineStr">
        <is>
          <t>Closed in requirements</t>
        </is>
      </c>
      <c r="F10" s="27" t="inlineStr">
        <is>
          <t>Planned</t>
        </is>
      </c>
      <c r="G10" s="27" t="inlineStr">
        <is>
          <t>Not evidenced</t>
        </is>
      </c>
      <c r="H10" s="27" t="inlineStr">
        <is>
          <t>REQ-CHG-001 v1.12 / TPR-CHG-001 v0.13</t>
        </is>
      </c>
      <c r="I10" s="27" t="inlineStr">
        <is>
          <t>Tender creation must reject missing, stale or unauthorised handoff data.</t>
        </is>
      </c>
      <c r="J10" s="17" t="n"/>
      <c r="K10" s="17" t="n"/>
      <c r="L10" s="17" t="n"/>
      <c r="M10" s="17" t="n"/>
      <c r="N10" s="17" t="n"/>
      <c r="O10" s="17" t="n"/>
      <c r="P10" s="17" t="n"/>
      <c r="Q10" s="17" t="n"/>
      <c r="R10" s="17" t="n"/>
      <c r="S10" s="17" t="n"/>
      <c r="T10" s="17" t="n"/>
      <c r="U10" s="17" t="n"/>
      <c r="V10" s="17" t="n"/>
      <c r="W10" s="17" t="n"/>
      <c r="X10" s="17" t="n"/>
      <c r="Y10" s="17" t="n"/>
      <c r="Z10" s="17" t="n"/>
    </row>
    <row r="11" ht="43.5" customHeight="1" s="15">
      <c r="A11" s="17" t="inlineStr">
        <is>
          <t>IF-006</t>
        </is>
      </c>
      <c r="B11" s="27" t="inlineStr">
        <is>
          <t>System Setup</t>
        </is>
      </c>
      <c r="C11" s="27" t="inlineStr">
        <is>
          <t>Planning/Tenders/Bids</t>
        </is>
      </c>
      <c r="D11" s="27" t="inlineStr">
        <is>
          <t>Effective procurement rules, schedule profiles, responsibilities, public portal settings and release availability</t>
        </is>
      </c>
      <c r="E11" s="27" t="inlineStr">
        <is>
          <t>Needs approval</t>
        </is>
      </c>
      <c r="F11" s="27" t="inlineStr">
        <is>
          <t>Planned</t>
        </is>
      </c>
      <c r="G11" s="27" t="inlineStr">
        <is>
          <t>Not evidenced</t>
        </is>
      </c>
      <c r="H11" s="27" t="inlineStr">
        <is>
          <t>CFG-CHG-002 v0.16</t>
        </is>
      </c>
      <c r="I11" s="27" t="inlineStr">
        <is>
          <t>Unavailable or unverified settings must block only their affected action and name the responsible setup owner.</t>
        </is>
      </c>
      <c r="J11" s="17" t="n"/>
      <c r="K11" s="17" t="n"/>
      <c r="L11" s="17" t="n"/>
      <c r="M11" s="17" t="n"/>
      <c r="N11" s="17" t="n"/>
      <c r="O11" s="17" t="n"/>
      <c r="P11" s="17" t="n"/>
      <c r="Q11" s="17" t="n"/>
      <c r="R11" s="17" t="n"/>
      <c r="S11" s="17" t="n"/>
      <c r="T11" s="17" t="n"/>
      <c r="U11" s="17" t="n"/>
      <c r="V11" s="17" t="n"/>
      <c r="W11" s="17" t="n"/>
      <c r="X11" s="17" t="n"/>
      <c r="Y11" s="17" t="n"/>
      <c r="Z11" s="17" t="n"/>
    </row>
    <row r="12" ht="43.5" customHeight="1" s="15">
      <c r="A12" s="17" t="inlineStr">
        <is>
          <t>IF-007</t>
        </is>
      </c>
      <c r="B12" s="27" t="inlineStr">
        <is>
          <t>STD Templates</t>
        </is>
      </c>
      <c r="C12" s="27" t="inlineStr">
        <is>
          <t>Requisitions/Tenders/Bids</t>
        </is>
      </c>
      <c r="D12" s="27" t="inlineStr">
        <is>
          <t>Digest-matched installed template, construction evidence, shared compiler, renderer adapter and site On/Off switch</t>
        </is>
      </c>
      <c r="E12" s="27" t="inlineStr">
        <is>
          <t>STD v0.13 and runtime v1.1 approved; bundle pending</t>
        </is>
      </c>
      <c r="F12" s="27" t="inlineStr">
        <is>
          <t>Planned</t>
        </is>
      </c>
      <c r="G12" s="27" t="inlineStr">
        <is>
          <t>Pending</t>
        </is>
      </c>
      <c r="H12" s="27" t="inlineStr">
        <is>
          <t>STD-TPL-001 v0.13 / STD-TPL-IMP-001 v1.1</t>
        </is>
      </c>
      <c r="I12" s="27" t="inlineStr">
        <is>
          <t>No module may infer missing semantics, bypass integrity/renderer checks, or bind a new Tender while the site switch is Off.</t>
        </is>
      </c>
      <c r="J12" s="17" t="n"/>
      <c r="K12" s="17" t="n"/>
      <c r="L12" s="17" t="n"/>
      <c r="M12" s="17" t="n"/>
      <c r="N12" s="17" t="n"/>
      <c r="O12" s="17" t="n"/>
      <c r="P12" s="17" t="n"/>
      <c r="Q12" s="17" t="n"/>
      <c r="R12" s="17" t="n"/>
      <c r="S12" s="17" t="n"/>
      <c r="T12" s="17" t="n"/>
      <c r="U12" s="17" t="n"/>
      <c r="V12" s="17" t="n"/>
      <c r="W12" s="17" t="n"/>
      <c r="X12" s="17" t="n"/>
      <c r="Y12" s="17" t="n"/>
      <c r="Z12" s="17" t="n"/>
    </row>
    <row r="13" ht="43.5" customHeight="1" s="15">
      <c r="A13" s="17" t="inlineStr">
        <is>
          <t>IF-008</t>
        </is>
      </c>
      <c r="B13" s="27" t="inlineStr">
        <is>
          <t>Tenders</t>
        </is>
      </c>
      <c r="C13" s="27" t="inlineStr">
        <is>
          <t>Bid Submission</t>
        </is>
      </c>
      <c r="D13" s="27" t="inlineStr">
        <is>
          <t>PublishedBidDefinition with stable row identities, deadlines, addenda and clarification state</t>
        </is>
      </c>
      <c r="E13" s="27" t="inlineStr">
        <is>
          <t>Closed in requirements</t>
        </is>
      </c>
      <c r="F13" s="27" t="inlineStr">
        <is>
          <t>Planned</t>
        </is>
      </c>
      <c r="G13" s="27" t="inlineStr">
        <is>
          <t>Not evidenced</t>
        </is>
      </c>
      <c r="H13" s="27" t="inlineStr">
        <is>
          <t>TPR-CHG-001 v0.13 / BDS-CHG-001 v0.8 / STD-TPL-IMP-001 v1.1</t>
        </is>
      </c>
      <c r="I13" s="27" t="inlineStr">
        <is>
          <t>Bid UI must be generated only by the shared compiler from the exact effective published definition and release identity.</t>
        </is>
      </c>
      <c r="J13" s="17" t="n"/>
      <c r="K13" s="17" t="n"/>
      <c r="L13" s="17" t="n"/>
      <c r="M13" s="17" t="n"/>
      <c r="N13" s="17" t="n"/>
      <c r="O13" s="17" t="n"/>
      <c r="P13" s="17" t="n"/>
      <c r="Q13" s="17" t="n"/>
      <c r="R13" s="17" t="n"/>
      <c r="S13" s="17" t="n"/>
      <c r="T13" s="17" t="n"/>
      <c r="U13" s="17" t="n"/>
      <c r="V13" s="17" t="n"/>
      <c r="W13" s="17" t="n"/>
      <c r="X13" s="17" t="n"/>
      <c r="Y13" s="17" t="n"/>
      <c r="Z13" s="17" t="n"/>
    </row>
    <row r="14" ht="43.5" customHeight="1" s="15">
      <c r="A14" s="17" t="inlineStr">
        <is>
          <t>IF-009</t>
        </is>
      </c>
      <c r="B14" s="27" t="inlineStr">
        <is>
          <t>Bid Submission</t>
        </is>
      </c>
      <c r="C14" s="27" t="inlineStr">
        <is>
          <t>Tenders</t>
        </is>
      </c>
      <c r="D14" s="27" t="inlineStr">
        <is>
          <t>Atomic candidate registration/contact plus candidate question</t>
        </is>
      </c>
      <c r="E14" s="27" t="inlineStr">
        <is>
          <t>Closed in requirements</t>
        </is>
      </c>
      <c r="F14" s="27" t="inlineStr">
        <is>
          <t>Planned</t>
        </is>
      </c>
      <c r="G14" s="27" t="inlineStr">
        <is>
          <t>Not evidenced</t>
        </is>
      </c>
      <c r="H14" s="27" t="inlineStr">
        <is>
          <t>BDS-CHG-001 v0.8 / TPR-CHG-001 v0.13</t>
        </is>
      </c>
      <c r="I14" s="27" t="inlineStr">
        <is>
          <t>Start bid must not create a half-registered candidate or orphan question.</t>
        </is>
      </c>
      <c r="J14" s="17" t="n"/>
      <c r="K14" s="17" t="n"/>
      <c r="L14" s="17" t="n"/>
      <c r="M14" s="17" t="n"/>
      <c r="N14" s="17" t="n"/>
      <c r="O14" s="17" t="n"/>
      <c r="P14" s="17" t="n"/>
      <c r="Q14" s="17" t="n"/>
      <c r="R14" s="17" t="n"/>
      <c r="S14" s="17" t="n"/>
      <c r="T14" s="17" t="n"/>
      <c r="U14" s="17" t="n"/>
      <c r="V14" s="17" t="n"/>
      <c r="W14" s="17" t="n"/>
      <c r="X14" s="17" t="n"/>
      <c r="Y14" s="17" t="n"/>
      <c r="Z14" s="17" t="n"/>
    </row>
    <row r="15" ht="43.5" customHeight="1" s="15">
      <c r="A15" s="17" t="inlineStr">
        <is>
          <t>IF-012</t>
        </is>
      </c>
      <c r="B15" s="27" t="inlineStr">
        <is>
          <t>Procurement Planning</t>
        </is>
      </c>
      <c r="C15" s="27" t="inlineStr">
        <is>
          <t>Budget and Funding</t>
        </is>
      </c>
      <c r="D15" s="27" t="inlineStr">
        <is>
          <t>Planning budget revision request with affected plan item, requested outcome, reason, requester, timestamps and immutable request identity</t>
        </is>
      </c>
      <c r="E15" s="27" t="inlineStr">
        <is>
          <t>Closed in requirements</t>
        </is>
      </c>
      <c r="F15" s="27" t="inlineStr">
        <is>
          <t>Not evidenced</t>
        </is>
      </c>
      <c r="G15" s="27" t="inlineStr">
        <is>
          <t>Not evidenced</t>
        </is>
      </c>
      <c r="H15" s="27" t="inlineStr">
        <is>
          <t>PLN-CHG-001 v1.27 / BUD-CHG-001 v1.11</t>
        </is>
      </c>
      <c r="I15" s="27" t="inlineStr">
        <is>
          <t>The request itself must not change an amount, create a reservation, constitute a budget revision or imply approval.</t>
        </is>
      </c>
      <c r="J15" s="17" t="n"/>
      <c r="K15" s="17" t="n"/>
      <c r="L15" s="17" t="n"/>
      <c r="M15" s="17" t="n"/>
      <c r="N15" s="17" t="n"/>
      <c r="O15" s="17" t="n"/>
      <c r="P15" s="17" t="n"/>
      <c r="Q15" s="17" t="n"/>
      <c r="R15" s="17" t="n"/>
      <c r="S15" s="17" t="n"/>
      <c r="T15" s="17" t="n"/>
      <c r="U15" s="17" t="n"/>
      <c r="V15" s="17" t="n"/>
      <c r="W15" s="17" t="n"/>
      <c r="X15" s="17" t="n"/>
      <c r="Y15" s="17" t="n"/>
      <c r="Z15" s="17" t="n"/>
    </row>
    <row r="16" ht="43.5" customHeight="1" s="15">
      <c r="A16" s="17" t="inlineStr">
        <is>
          <t>IF-013</t>
        </is>
      </c>
      <c r="B16" s="27" t="inlineStr">
        <is>
          <t>Budget and Funding</t>
        </is>
      </c>
      <c r="C16" s="27" t="inlineStr">
        <is>
          <t>Procurement Planning</t>
        </is>
      </c>
      <c r="D16" s="27" t="inlineStr">
        <is>
          <t>Budget revision request outcome, decline reason or registered successor allocation evidence</t>
        </is>
      </c>
      <c r="E16" s="27" t="inlineStr">
        <is>
          <t>Closed in requirements</t>
        </is>
      </c>
      <c r="F16" s="27" t="inlineStr">
        <is>
          <t>Not evidenced</t>
        </is>
      </c>
      <c r="G16" s="27" t="inlineStr">
        <is>
          <t>Not evidenced</t>
        </is>
      </c>
      <c r="H16" s="27" t="inlineStr">
        <is>
          <t>BUD-CHG-001 v1.11 / PLN-CHG-001 v1.27</t>
        </is>
      </c>
      <c r="I16" s="27" t="inlineStr">
        <is>
          <t>Planning must re-evaluate affordability from the returned Budget-owned fact and must not infer success from request submission.</t>
        </is>
      </c>
      <c r="J16" s="17" t="n"/>
      <c r="K16" s="17" t="n"/>
      <c r="L16" s="17" t="n"/>
      <c r="M16" s="17" t="n"/>
      <c r="N16" s="17" t="n"/>
      <c r="O16" s="17" t="n"/>
      <c r="P16" s="17" t="n"/>
      <c r="Q16" s="17" t="n"/>
      <c r="R16" s="17" t="n"/>
      <c r="S16" s="17" t="n"/>
      <c r="T16" s="17" t="n"/>
      <c r="U16" s="17" t="n"/>
      <c r="V16" s="17" t="n"/>
      <c r="W16" s="17" t="n"/>
      <c r="X16" s="17" t="n"/>
      <c r="Y16" s="17" t="n"/>
      <c r="Z16" s="17" t="n"/>
    </row>
    <row r="17" ht="43.5" customHeight="1" s="15">
      <c r="A17" s="17" t="inlineStr">
        <is>
          <t>IF-014</t>
        </is>
      </c>
      <c r="B17" s="27" t="inlineStr">
        <is>
          <t>Shared workflow guidance</t>
        </is>
      </c>
      <c r="C17" s="27" t="inlineStr">
        <is>
          <t>All task modules</t>
        </is>
      </c>
      <c r="D17" s="27" t="inlineStr">
        <is>
          <t>Server-produced next-step response, explicit guard reason and complete hand-off register consumed by record pages, My Work and Home</t>
        </is>
      </c>
      <c r="E17" s="27" t="inlineStr">
        <is>
          <t>Approved shared standard; module adoption partial</t>
        </is>
      </c>
      <c r="F17" s="27" t="inlineStr">
        <is>
          <t>Planned</t>
        </is>
      </c>
      <c r="G17" s="27" t="inlineStr">
        <is>
          <t>Not evidenced</t>
        </is>
      </c>
      <c r="H17" s="27" t="inlineStr">
        <is>
          <t>KT-STD-001 v1.9 / current module document</t>
        </is>
      </c>
      <c r="I17" s="27" t="inlineStr">
        <is>
          <t>No authorised user may reach a meaningful record state without an action, waiting owner, correctable blocker or completed outcome.</t>
        </is>
      </c>
      <c r="J17" s="17" t="n"/>
      <c r="K17" s="17" t="n"/>
      <c r="L17" s="17" t="n"/>
      <c r="M17" s="17" t="n"/>
      <c r="N17" s="17" t="n"/>
      <c r="O17" s="17" t="n"/>
      <c r="P17" s="17" t="n"/>
      <c r="Q17" s="17" t="n"/>
      <c r="R17" s="17" t="n"/>
      <c r="S17" s="17" t="n"/>
      <c r="T17" s="17" t="n"/>
      <c r="U17" s="17" t="n"/>
      <c r="V17" s="17" t="n"/>
      <c r="W17" s="17" t="n"/>
      <c r="X17" s="17" t="n"/>
      <c r="Y17" s="17" t="n"/>
      <c r="Z17" s="17" t="n"/>
    </row>
    <row r="18" ht="43.5" customHeight="1" s="15">
      <c r="A18" s="17" t="inlineStr">
        <is>
          <t>IF-010</t>
        </is>
      </c>
      <c r="B18" s="27" t="inlineStr">
        <is>
          <t>Tenders</t>
        </is>
      </c>
      <c r="C18" s="27" t="inlineStr">
        <is>
          <t>Bid Submission</t>
        </is>
      </c>
      <c r="D18" s="27" t="inlineStr">
        <is>
          <t>Published clarification answers, candidate notices and issued addenda</t>
        </is>
      </c>
      <c r="E18" s="27" t="inlineStr">
        <is>
          <t>Closed in requirements</t>
        </is>
      </c>
      <c r="F18" s="27" t="inlineStr">
        <is>
          <t>Planned</t>
        </is>
      </c>
      <c r="G18" s="27" t="inlineStr">
        <is>
          <t>Not evidenced</t>
        </is>
      </c>
      <c r="H18" s="27" t="inlineStr">
        <is>
          <t>TPR-CHG-001 v0.13 / BDS-CHG-001 v0.8</t>
        </is>
      </c>
      <c r="I18" s="27" t="inlineStr">
        <is>
          <t>Changed requirements require an issued addendum; clarifications alone cannot mutate the bid definition.</t>
        </is>
      </c>
      <c r="J18" s="17" t="n"/>
      <c r="K18" s="17" t="n"/>
      <c r="L18" s="17" t="n"/>
      <c r="M18" s="17" t="n"/>
      <c r="N18" s="17" t="n"/>
      <c r="O18" s="17" t="n"/>
      <c r="P18" s="17" t="n"/>
      <c r="Q18" s="17" t="n"/>
      <c r="R18" s="17" t="n"/>
      <c r="S18" s="17" t="n"/>
      <c r="T18" s="17" t="n"/>
      <c r="U18" s="17" t="n"/>
      <c r="V18" s="17" t="n"/>
      <c r="W18" s="17" t="n"/>
      <c r="X18" s="17" t="n"/>
      <c r="Y18" s="17" t="n"/>
      <c r="Z18" s="17" t="n"/>
    </row>
    <row r="19" ht="43.5" customHeight="1" s="15">
      <c r="A19" s="17" t="inlineStr">
        <is>
          <t>IF-015</t>
        </is>
      </c>
      <c r="B19" s="27" t="inlineStr">
        <is>
          <t>STD Templates</t>
        </is>
      </c>
      <c r="C19" s="27" t="inlineStr">
        <is>
          <t>Tenders/Bid Submission</t>
        </is>
      </c>
      <c r="D19" s="27" t="inlineStr">
        <is>
          <t>Bound release and site availability projection</t>
        </is>
      </c>
      <c r="E19" s="27" t="inlineStr">
        <is>
          <t>Closed in requirements</t>
        </is>
      </c>
      <c r="F19" s="27" t="inlineStr">
        <is>
          <t>Planned</t>
        </is>
      </c>
      <c r="G19" s="27" t="inlineStr">
        <is>
          <t>Not evidenced</t>
        </is>
      </c>
      <c r="H19" s="27" t="inlineStr">
        <is>
          <t>STD-TPL-001 v0.13 / STD-TPL-IMP-001 v1.1 / TPR-CHG-001 v0.13</t>
        </is>
      </c>
      <c r="I19" s="27" t="inlineStr">
        <is>
          <t>New binding requires site On and valid integrity/renderer; Off preserves existing bindings, safety/legal withdrawal blocks affected unpublished publication; never automatically rebind.</t>
        </is>
      </c>
      <c r="J19" s="17" t="n"/>
      <c r="K19" s="17" t="n"/>
      <c r="L19" s="17" t="n"/>
      <c r="M19" s="17" t="n"/>
      <c r="N19" s="17" t="n"/>
      <c r="O19" s="17" t="n"/>
      <c r="P19" s="17" t="n"/>
      <c r="Q19" s="17" t="n"/>
      <c r="R19" s="17" t="n"/>
      <c r="S19" s="17" t="n"/>
      <c r="T19" s="17" t="n"/>
      <c r="U19" s="17" t="n"/>
      <c r="V19" s="17" t="n"/>
      <c r="W19" s="17" t="n"/>
      <c r="X19" s="17" t="n"/>
      <c r="Y19" s="17" t="n"/>
      <c r="Z19" s="17" t="n"/>
    </row>
    <row r="20" ht="43.5" customHeight="1" s="15">
      <c r="A20" s="17" t="inlineStr">
        <is>
          <t>IF-011</t>
        </is>
      </c>
      <c r="B20" s="27" t="inlineStr">
        <is>
          <t>Bid Submission</t>
        </is>
      </c>
      <c r="C20" s="27" t="inlineStr">
        <is>
          <t>Bid Opening</t>
        </is>
      </c>
      <c r="D20" s="27" t="inlineStr">
        <is>
          <t>Sealed immutable bid handoff and receipt identity</t>
        </is>
      </c>
      <c r="E20" s="27" t="inlineStr">
        <is>
          <t>Future consumer boundary</t>
        </is>
      </c>
      <c r="F20" s="27" t="inlineStr">
        <is>
          <t>Not started</t>
        </is>
      </c>
      <c r="G20" s="27" t="inlineStr">
        <is>
          <t>Not started</t>
        </is>
      </c>
      <c r="H20" s="27" t="inlineStr">
        <is>
          <t>BDS-CHG-001 v0.8</t>
        </is>
      </c>
      <c r="I20" s="27" t="inlineStr">
        <is>
          <t>Gate 1 ends at sealed handoff; no opening or evaluation behaviour is implied.</t>
        </is>
      </c>
      <c r="J20" s="17" t="n"/>
      <c r="K20" s="17" t="n"/>
      <c r="L20" s="17" t="n"/>
      <c r="M20" s="17" t="n"/>
      <c r="N20" s="17" t="n"/>
      <c r="O20" s="17" t="n"/>
      <c r="P20" s="17" t="n"/>
      <c r="Q20" s="17" t="n"/>
      <c r="R20" s="17" t="n"/>
      <c r="S20" s="17" t="n"/>
      <c r="T20" s="17" t="n"/>
      <c r="U20" s="17" t="n"/>
      <c r="V20" s="17" t="n"/>
      <c r="W20" s="17" t="n"/>
      <c r="X20" s="17" t="n"/>
      <c r="Y20" s="17" t="n"/>
      <c r="Z20" s="17" t="n"/>
    </row>
    <row r="21" ht="43.5" customHeight="1" s="15">
      <c r="A21" s="17" t="inlineStr">
        <is>
          <t>IF-016</t>
        </is>
      </c>
      <c r="B21" s="27" t="inlineStr">
        <is>
          <t>Trust, Signing and Custody</t>
        </is>
      </c>
      <c r="C21" s="27" t="inlineStr">
        <is>
          <t>BDS / BOP / PRC</t>
        </is>
      </c>
      <c r="D21" s="27" t="inlineStr">
        <is>
          <t>Exact-target signature verification and sealed bid deposit/opening custody with authoritative receipts and independent member authorization</t>
        </is>
      </c>
      <c r="E21" s="27" t="inlineStr">
        <is>
          <t>Deferred production contract; test proxy approved</t>
        </is>
      </c>
      <c r="F21" s="27" t="inlineStr">
        <is>
          <t>Not started</t>
        </is>
      </c>
      <c r="G21" s="27" t="inlineStr">
        <is>
          <t>Not started</t>
        </is>
      </c>
      <c r="H21" s="27" t="inlineStr">
        <is>
          <t>TRUST-ADR-001 v0.1; BDS-CHG-001 v0.8 (v0.9 proposed); BOP-CHG-001 v0.10 proposed; PRC-CHG-001 v0.9 proposed</t>
        </is>
      </c>
      <c r="I21" s="27" t="inlineStr">
        <is>
          <t>No production submission/opening/signature on absent or uncertain trust/custody result. A synthetic proxy cannot turn the default-false BDS gate on.</t>
        </is>
      </c>
      <c r="J21" s="17" t="n"/>
      <c r="K21" s="17" t="n"/>
      <c r="L21" s="17" t="n"/>
      <c r="M21" s="17" t="n"/>
      <c r="N21" s="17" t="n"/>
      <c r="O21" s="17" t="n"/>
      <c r="P21" s="17" t="n"/>
      <c r="Q21" s="17" t="n"/>
      <c r="R21" s="17" t="n"/>
      <c r="S21" s="17" t="n"/>
      <c r="T21" s="17" t="n"/>
      <c r="U21" s="17" t="n"/>
      <c r="V21" s="17" t="n"/>
      <c r="W21" s="17" t="n"/>
      <c r="X21" s="17" t="n"/>
      <c r="Y21" s="17" t="n"/>
      <c r="Z21" s="17" t="n"/>
    </row>
    <row r="22" ht="43.5" customHeight="1" s="15">
      <c r="A22" s="17" t="inlineStr">
        <is>
          <t>IF-017</t>
        </is>
      </c>
      <c r="B22" s="27" t="inlineStr">
        <is>
          <t>Evaluation / Tenders</t>
        </is>
      </c>
      <c r="C22" s="27" t="inlineStr">
        <is>
          <t>Award</t>
        </is>
      </c>
      <c r="D22" s="27" t="inlineStr">
        <is>
          <t>Exact report/task receipt; separate decision and notice authority; serialised notice/cancellation boundary. AWD-IF-01–02.</t>
        </is>
      </c>
      <c r="E22" s="27" t="inlineStr">
        <is>
          <t>Proposed interface</t>
        </is>
      </c>
      <c r="F22" s="27" t="inlineStr">
        <is>
          <t>Not started</t>
        </is>
      </c>
      <c r="G22" s="27" t="inlineStr">
        <is>
          <t>Not started</t>
        </is>
      </c>
      <c r="H22" s="27" t="inlineStr">
        <is>
          <t>AWD-CHG-001 v0.4 §17.2; matching owner amendments pending</t>
        </is>
      </c>
      <c r="I22" s="27" t="inlineStr">
        <is>
          <t>No duplicate receipt task, stale source or false negative authority; preserve versioned corrections.</t>
        </is>
      </c>
      <c r="J22" s="17" t="n"/>
      <c r="K22" s="17" t="n"/>
      <c r="L22" s="17" t="n"/>
      <c r="M22" s="17" t="n"/>
      <c r="N22" s="17" t="n"/>
      <c r="O22" s="17" t="n"/>
      <c r="P22" s="17" t="n"/>
      <c r="Q22" s="17" t="n"/>
      <c r="R22" s="17" t="n"/>
      <c r="S22" s="17" t="n"/>
      <c r="T22" s="17" t="n"/>
      <c r="U22" s="17" t="n"/>
      <c r="V22" s="17" t="n"/>
      <c r="W22" s="17" t="n"/>
      <c r="X22" s="17" t="n"/>
      <c r="Y22" s="17" t="n"/>
      <c r="Z22" s="17" t="n"/>
    </row>
    <row r="23" ht="43.5" customHeight="1" s="15">
      <c r="A23" s="17" t="inlineStr">
        <is>
          <t>IF-018</t>
        </is>
      </c>
      <c r="B23" s="27" t="inlineStr">
        <is>
          <t>BDS / Budget / AUTH / Legal / Trust</t>
        </is>
      </c>
      <c r="C23" s="27" t="inlineStr">
        <is>
          <t>Award / Procurement Proceedings</t>
        </is>
      </c>
      <c r="D23" s="27" t="inlineStr">
        <is>
          <t>Audience, authority, funding and verified notice/signature/clock rules; retained records. AWD-IF-03, 04, 06, 07.</t>
        </is>
      </c>
      <c r="E23" s="27" t="inlineStr">
        <is>
          <t>Proposed interface</t>
        </is>
      </c>
      <c r="F23" s="27" t="inlineStr">
        <is>
          <t>Not started</t>
        </is>
      </c>
      <c r="G23" s="27" t="inlineStr">
        <is>
          <t>Not started</t>
        </is>
      </c>
      <c r="H23" s="27" t="inlineStr">
        <is>
          <t>AWD-CHG-001 v0.4 §17.2; matching owner amendments pending</t>
        </is>
      </c>
      <c r="I23" s="27" t="inlineStr">
        <is>
          <t>Unknown rules, authority, funding or giving evidence cannot authorise positive advancement.</t>
        </is>
      </c>
      <c r="J23" s="17" t="n"/>
      <c r="K23" s="17" t="n"/>
      <c r="L23" s="17" t="n"/>
      <c r="M23" s="17" t="n"/>
      <c r="N23" s="17" t="n"/>
      <c r="O23" s="17" t="n"/>
      <c r="P23" s="17" t="n"/>
      <c r="Q23" s="17" t="n"/>
      <c r="R23" s="17" t="n"/>
      <c r="S23" s="17" t="n"/>
      <c r="T23" s="17" t="n"/>
      <c r="U23" s="17" t="n"/>
      <c r="V23" s="17" t="n"/>
      <c r="W23" s="17" t="n"/>
      <c r="X23" s="17" t="n"/>
      <c r="Y23" s="17" t="n"/>
      <c r="Z23" s="17" t="n"/>
    </row>
    <row r="24" ht="43.5" customHeight="1" s="15">
      <c r="A24" s="17" t="inlineStr">
        <is>
          <t>IF-019</t>
        </is>
      </c>
      <c r="B24" s="27" t="inlineStr">
        <is>
          <t>Award</t>
        </is>
      </c>
      <c r="C24" s="27" t="inlineStr">
        <is>
          <t>Contracting</t>
        </is>
      </c>
      <c r="D24" s="27" t="inlineStr">
        <is>
          <t>Immutable package, durable receipt/task, later restriction updates, and independent decision-event delivery to the Contracting-owned publication obligation. AWD-IF-05.</t>
        </is>
      </c>
      <c r="E24" s="27" t="inlineStr">
        <is>
          <t>Proposed interface</t>
        </is>
      </c>
      <c r="F24" s="27" t="inlineStr">
        <is>
          <t>Not started</t>
        </is>
      </c>
      <c r="G24" s="27" t="inlineStr">
        <is>
          <t>Not started</t>
        </is>
      </c>
      <c r="H24" s="27" t="inlineStr">
        <is>
          <t>AWD-CHG-001 v0.4 §17.2; matching owner amendments pending</t>
        </is>
      </c>
      <c r="I24" s="27" t="inlineStr">
        <is>
          <t>No completion without consumer receipt; Contracting rechecks current restrictions. No contract created by notice or acceptance.</t>
        </is>
      </c>
      <c r="J24" s="17" t="n"/>
      <c r="K24" s="17" t="n"/>
      <c r="L24" s="17" t="n"/>
      <c r="M24" s="17" t="n"/>
      <c r="N24" s="17" t="n"/>
      <c r="O24" s="17" t="n"/>
      <c r="P24" s="17" t="n"/>
      <c r="Q24" s="17" t="n"/>
      <c r="R24" s="17" t="n"/>
      <c r="S24" s="17" t="n"/>
      <c r="T24" s="17" t="n"/>
      <c r="U24" s="17" t="n"/>
      <c r="V24" s="17" t="n"/>
      <c r="W24" s="17" t="n"/>
      <c r="X24" s="17" t="n"/>
      <c r="Y24" s="17" t="n"/>
      <c r="Z24" s="17" t="n"/>
    </row>
    <row r="25" ht="43.5" customHeight="1" s="15">
      <c r="A25" s="17" t="inlineStr">
        <is>
          <t>IF-020</t>
        </is>
      </c>
      <c r="B25" s="27" t="inlineStr">
        <is>
          <t>STD Templates / Tenders</t>
        </is>
      </c>
      <c r="C25" s="27" t="inlineStr">
        <is>
          <t>Template walkthrough (STD Templates and Tender record)</t>
        </is>
      </c>
      <c r="D25" s="27" t="inlineStr">
        <is>
          <t>TemplateWalkthroughProjection v1 compiled at installation from the release fixture; walkthrough preview of an unpublished Tender Version from the shared compiler; frozen Published Bid Definition for a published Tender; registered renderer in walkthrough mode</t>
        </is>
      </c>
      <c r="E25" s="27" t="inlineStr">
        <is>
          <t>Proposed interface</t>
        </is>
      </c>
      <c r="F25" s="27" t="inlineStr">
        <is>
          <t>Not started</t>
        </is>
      </c>
      <c r="G25" s="27" t="inlineStr">
        <is>
          <t>Not started</t>
        </is>
      </c>
      <c r="H25" s="27" t="inlineStr">
        <is>
          <t>STD-TPL-001 proposed v0.14 / TPR-CHG-001 and BDS-CHG-001 successors not yet drafted / STD-TPL-IMP-001 v1.1</t>
        </is>
      </c>
      <c r="I25" s="27" t="inlineStr">
        <is>
          <t>No substitute renderer, raw view or partial workspace; a preview is never stored as a Published Bid Definition or shown to a supplier; no supplier Draft or submitted content is read; nothing is saved and no gate result is recorded.</t>
        </is>
      </c>
      <c r="J25" s="17" t="n"/>
      <c r="K25" s="17" t="n"/>
      <c r="L25" s="17" t="n"/>
      <c r="M25" s="17" t="n"/>
      <c r="N25" s="17" t="n"/>
      <c r="O25" s="17" t="n"/>
      <c r="P25" s="17" t="n"/>
      <c r="Q25" s="17" t="n"/>
      <c r="R25" s="17" t="n"/>
      <c r="S25" s="17" t="n"/>
      <c r="T25" s="17" t="n"/>
      <c r="U25" s="17" t="n"/>
      <c r="V25" s="17" t="n"/>
      <c r="W25" s="17" t="n"/>
      <c r="X25" s="17" t="n"/>
      <c r="Y25" s="17" t="n"/>
      <c r="Z25" s="17" t="n"/>
    </row>
    <row r="26" ht="15" customHeight="1" s="15">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 customHeight="1" s="15">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 customHeight="1" s="15">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 customHeight="1" s="15">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 customHeight="1" s="15">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 customHeight="1" s="15">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 customHeight="1" s="15">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 customHeight="1" s="15">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 customHeight="1" s="15">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 customHeight="1" s="1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 customHeight="1" s="15">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 customHeight="1" s="15">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 customHeight="1" s="15">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 customHeight="1" s="15">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 customHeight="1" s="15">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15" customHeight="1" s="15">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 customHeight="1" s="15">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 customHeight="1" s="15">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 customHeight="1" s="15">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 customHeight="1" s="1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 customHeight="1" s="15">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 customHeight="1" s="15">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 customHeight="1" s="15">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 customHeight="1" s="15">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 customHeight="1" s="15">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row>
    <row r="51" ht="15" customHeight="1" s="15">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row>
    <row r="52" ht="15" customHeight="1" s="15">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row>
    <row r="53" ht="15" customHeight="1" s="15">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row>
    <row r="54" ht="15" customHeight="1" s="15">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row>
    <row r="55" ht="15" customHeight="1" s="1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row>
    <row r="56" ht="15" customHeight="1" s="15">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row>
    <row r="57" ht="15" customHeight="1" s="15">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row>
    <row r="58" ht="15" customHeight="1" s="15">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row>
    <row r="59" ht="15" customHeight="1" s="15">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row>
    <row r="60" ht="15" customHeight="1" s="15">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row>
    <row r="61" ht="15" customHeight="1" s="15">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row>
    <row r="62" ht="15" customHeight="1" s="15">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row>
    <row r="63" ht="15" customHeight="1" s="15">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row>
    <row r="64" ht="15" customHeight="1" s="15">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row>
    <row r="65" ht="15" customHeight="1" s="15">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row>
    <row r="66" ht="15" customHeight="1" s="15">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row>
    <row r="67" ht="15" customHeight="1" s="15">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row>
    <row r="68" ht="15" customHeight="1" s="15">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row>
    <row r="69" ht="15" customHeight="1" s="15">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row>
    <row r="70" ht="15" customHeight="1" s="15">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row>
    <row r="71" ht="15" customHeight="1" s="15">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row>
    <row r="72" ht="15" customHeight="1" s="15">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row>
    <row r="73" ht="15" customHeight="1" s="15">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row>
    <row r="74" ht="15" customHeight="1" s="15">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row>
    <row r="75" ht="15" customHeight="1" s="15">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row>
    <row r="76" ht="15" customHeight="1" s="15">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row>
    <row r="77" ht="15" customHeight="1" s="15">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row>
    <row r="78" ht="15" customHeight="1" s="15">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row>
    <row r="79" ht="15" customHeight="1" s="15">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row>
    <row r="80" ht="15" customHeight="1" s="15">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row>
    <row r="81" ht="15" customHeight="1" s="15">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row>
    <row r="82" ht="15" customHeight="1" s="15">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row>
    <row r="83" ht="15" customHeight="1" s="15">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row>
    <row r="84" ht="15" customHeight="1" s="15">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row>
    <row r="85" ht="15" customHeight="1" s="15">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row>
    <row r="86" ht="15" customHeight="1" s="15">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row>
    <row r="87" ht="15" customHeight="1" s="15">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row>
    <row r="88" ht="15" customHeight="1" s="15">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row>
    <row r="89" ht="15" customHeight="1" s="15">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row>
    <row r="90" ht="15" customHeight="1" s="15">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row>
    <row r="91" ht="15" customHeight="1" s="15">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row>
    <row r="92" ht="15" customHeight="1" s="15">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row>
    <row r="93" ht="15" customHeight="1" s="15">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row>
    <row r="94" ht="15" customHeight="1" s="15">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row>
    <row r="95" ht="15" customHeight="1" s="15">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row>
    <row r="96" ht="15" customHeight="1" s="15">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row>
    <row r="97" ht="15" customHeight="1" s="15">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row>
    <row r="98" ht="15" customHeight="1" s="15">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row>
    <row r="99" ht="15" customHeight="1" s="15">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row>
    <row r="100" ht="15" customHeight="1" s="15">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row>
    <row r="101" ht="15" customHeight="1" s="15">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row>
    <row r="102" ht="15" customHeight="1" s="15">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row>
    <row r="103" ht="15" customHeight="1" s="15">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row>
    <row r="104" ht="15" customHeight="1" s="15">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row>
    <row r="105" ht="15" customHeight="1" s="15">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row>
    <row r="106" ht="15" customHeight="1" s="15">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row>
    <row r="107" ht="15" customHeight="1" s="15">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row>
    <row r="108" ht="15" customHeight="1" s="15">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row>
    <row r="109" ht="15" customHeight="1" s="15">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row>
    <row r="110" ht="15" customHeight="1" s="15">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row>
    <row r="111" ht="15" customHeight="1" s="15">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row>
    <row r="112" ht="15" customHeight="1" s="15">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row>
    <row r="113" ht="15" customHeight="1" s="15">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row>
    <row r="114" ht="15" customHeight="1" s="15">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row>
    <row r="115" ht="15" customHeight="1" s="15">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row>
    <row r="116" ht="15" customHeight="1" s="15">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row>
    <row r="117" ht="15" customHeight="1" s="15">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row>
    <row r="118" ht="15" customHeight="1" s="15">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row>
    <row r="119" ht="15" customHeight="1" s="15">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row>
    <row r="120" ht="15" customHeight="1" s="15">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row>
    <row r="121" ht="15" customHeight="1" s="15">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row>
    <row r="122" ht="15" customHeight="1" s="15">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row>
    <row r="123" ht="15" customHeight="1" s="15">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row>
    <row r="124" ht="15" customHeight="1" s="15">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row>
    <row r="125" ht="15" customHeight="1" s="15">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row>
    <row r="126" ht="15" customHeight="1" s="15">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row>
    <row r="127" ht="15" customHeight="1" s="15">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row>
    <row r="128" ht="15" customHeight="1" s="15">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row>
    <row r="129" ht="15" customHeight="1" s="15">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row>
    <row r="130" ht="15" customHeight="1" s="15">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row>
    <row r="131" ht="15" customHeight="1" s="15">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row>
    <row r="132" ht="15" customHeight="1" s="15">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row>
    <row r="133" ht="15" customHeight="1" s="15">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row>
    <row r="134" ht="15" customHeight="1" s="15">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row>
    <row r="135" ht="15" customHeight="1" s="15">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row>
    <row r="136" ht="15" customHeight="1" s="15">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row>
    <row r="137" ht="15" customHeight="1" s="15">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row>
    <row r="138" ht="15" customHeight="1" s="15">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row>
    <row r="139" ht="15" customHeight="1" s="15">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row>
    <row r="140" ht="15" customHeight="1" s="15">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row>
    <row r="141" ht="15" customHeight="1" s="15">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row>
    <row r="142" ht="15" customHeight="1" s="15">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row>
    <row r="143" ht="15" customHeight="1" s="15">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row>
    <row r="144" ht="15" customHeight="1" s="15">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row>
    <row r="145" ht="15" customHeight="1" s="15">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row>
    <row r="146" ht="15" customHeight="1" s="15">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row>
    <row r="147" ht="15" customHeight="1" s="15">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row>
    <row r="148" ht="15" customHeight="1" s="15">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row>
    <row r="149" ht="15" customHeight="1" s="15">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row>
    <row r="150" ht="15" customHeight="1" s="15">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row>
    <row r="151" ht="15" customHeight="1" s="15">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row>
    <row r="152" ht="15" customHeight="1" s="15">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row>
    <row r="153" ht="15" customHeight="1" s="15">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row>
    <row r="154" ht="15" customHeight="1" s="15">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row>
    <row r="155" ht="15" customHeight="1" s="15">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row>
    <row r="156" ht="15" customHeight="1" s="15">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row>
    <row r="157" ht="15" customHeight="1" s="15">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row>
    <row r="158" ht="15" customHeight="1" s="15">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row>
    <row r="159" ht="15" customHeight="1" s="15">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row>
    <row r="160" ht="15" customHeight="1" s="15">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row>
    <row r="161" ht="15" customHeight="1" s="15">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row>
    <row r="162" ht="15" customHeight="1" s="15">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row>
    <row r="163" ht="15" customHeight="1" s="15">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row>
    <row r="164" ht="15" customHeight="1" s="15">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row>
    <row r="165" ht="15" customHeight="1" s="15">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row>
    <row r="166" ht="15" customHeight="1" s="15">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row>
    <row r="167" ht="15" customHeight="1" s="15">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row>
    <row r="168" ht="15" customHeight="1" s="15">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row>
    <row r="169" ht="15" customHeight="1" s="15">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row>
    <row r="170" ht="15" customHeight="1" s="15">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row>
    <row r="171" ht="15" customHeight="1" s="15">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row>
    <row r="172" ht="15" customHeight="1" s="15">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row>
    <row r="173" ht="15" customHeight="1" s="15">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row>
    <row r="174" ht="15" customHeight="1" s="15">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row>
    <row r="175" ht="15" customHeight="1" s="15">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row>
    <row r="176" ht="15" customHeight="1" s="15">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row>
    <row r="177" ht="15" customHeight="1" s="15">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row>
    <row r="178" ht="15" customHeight="1" s="15">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row>
    <row r="179" ht="15" customHeight="1" s="15">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row>
    <row r="180" ht="15" customHeight="1" s="15">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row>
    <row r="181" ht="15" customHeight="1" s="15">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row>
    <row r="182" ht="15" customHeight="1" s="15">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row>
    <row r="183" ht="15" customHeight="1" s="15">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row>
    <row r="184" ht="15" customHeight="1" s="15">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row>
    <row r="185" ht="15" customHeight="1" s="15">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row>
    <row r="186" ht="15" customHeight="1" s="15">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row>
    <row r="187" ht="15" customHeight="1" s="15">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row>
    <row r="188" ht="15" customHeight="1" s="15">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row>
    <row r="189" ht="15" customHeight="1" s="15">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row>
    <row r="190" ht="15" customHeight="1" s="15">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row>
    <row r="191" ht="15" customHeight="1" s="15">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row>
    <row r="192" ht="15" customHeight="1" s="15">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row>
    <row r="193" ht="15" customHeight="1" s="15">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row>
    <row r="194" ht="15" customHeight="1" s="15">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row>
    <row r="195" ht="15" customHeight="1" s="15">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row>
    <row r="196" ht="15" customHeight="1" s="15">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row>
    <row r="197" ht="15" customHeight="1" s="15">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row>
    <row r="198" ht="15" customHeight="1" s="15">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row>
    <row r="199" ht="15" customHeight="1" s="15">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row>
    <row r="200" ht="15" customHeight="1" s="15">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row>
  </sheetData>
  <mergeCells count="2">
    <mergeCell ref="A1:I1"/>
    <mergeCell ref="A2:I2"/>
  </mergeCells>
  <conditionalFormatting sqref="E6:E25">
    <cfRule type="containsText" rank="0" priority="2" equalAverage="0" operator="containsText" aboveAverage="0" dxfId="13" text="Approved" percent="0" bottom="0">
      <formula>NOT(ISERROR(SEARCH("Approved",E6)))</formula>
    </cfRule>
    <cfRule type="containsText" rank="0" priority="3" equalAverage="0" operator="containsText" aboveAverage="0" dxfId="13" text="Passed" percent="0" bottom="0">
      <formula>NOT(ISERROR(SEARCH("Passed",E6)))</formula>
    </cfRule>
    <cfRule type="containsText" rank="0" priority="4" equalAverage="0" operator="containsText" aboveAverage="0" dxfId="13" text="Released" percent="0" bottom="0">
      <formula>NOT(ISERROR(SEARCH("Released",E6)))</formula>
    </cfRule>
    <cfRule type="containsText" rank="0" priority="5" equalAverage="0" operator="containsText" aboveAverage="0" dxfId="1" text="Project Owner review" percent="0" bottom="0">
      <formula>NOT(ISERROR(SEARCH("Project Owner review",E6)))</formula>
    </cfRule>
    <cfRule type="containsText" rank="0" priority="6" equalAverage="0" operator="containsText" aboveAverage="0" dxfId="14" text="Pending" percent="0" bottom="0">
      <formula>NOT(ISERROR(SEARCH("Pending",E6)))</formula>
    </cfRule>
    <cfRule type="containsText" rank="0" priority="7" equalAverage="0" operator="containsText" aboveAverage="0" dxfId="0" text="Blocked" percent="0" bottom="0">
      <formula>NOT(ISERROR(SEARCH("Blocked",E6)))</formula>
    </cfRule>
    <cfRule type="containsText" rank="0" priority="8" equalAverage="0" operator="containsText" aboveAverage="0" dxfId="0" text="unresolved" percent="0" bottom="0">
      <formula>NOT(ISERROR(SEARCH("unresolved",E6)))</formula>
    </cfRule>
    <cfRule type="containsText" rank="0" priority="9" equalAverage="0" operator="containsText" aboveAverage="0" dxfId="15" text="Not started" percent="0" bottom="0">
      <formula>NOT(ISERROR(SEARCH("Not started",E6)))</formula>
    </cfRule>
    <cfRule type="containsText" rank="0" priority="10" equalAverage="0" operator="containsText" aboveAverage="0" dxfId="15" text="Not evidenced" percent="0" bottom="0">
      <formula>NOT(ISERROR(SEARCH("Not evidenced",E6)))</formula>
    </cfRule>
  </conditionalFormatting>
  <conditionalFormatting sqref="F6:F25">
    <cfRule type="containsText" rank="0" priority="11" equalAverage="0" operator="containsText" aboveAverage="0" dxfId="13" text="Approved" percent="0" bottom="0">
      <formula>NOT(ISERROR(SEARCH("Approved",F6)))</formula>
    </cfRule>
    <cfRule type="containsText" rank="0" priority="12" equalAverage="0" operator="containsText" aboveAverage="0" dxfId="13" text="Passed" percent="0" bottom="0">
      <formula>NOT(ISERROR(SEARCH("Passed",F6)))</formula>
    </cfRule>
    <cfRule type="containsText" rank="0" priority="13" equalAverage="0" operator="containsText" aboveAverage="0" dxfId="13" text="Released" percent="0" bottom="0">
      <formula>NOT(ISERROR(SEARCH("Released",F6)))</formula>
    </cfRule>
    <cfRule type="containsText" rank="0" priority="14" equalAverage="0" operator="containsText" aboveAverage="0" dxfId="1" text="Project Owner review" percent="0" bottom="0">
      <formula>NOT(ISERROR(SEARCH("Project Owner review",F6)))</formula>
    </cfRule>
    <cfRule type="containsText" rank="0" priority="15" equalAverage="0" operator="containsText" aboveAverage="0" dxfId="14" text="Pending" percent="0" bottom="0">
      <formula>NOT(ISERROR(SEARCH("Pending",F6)))</formula>
    </cfRule>
    <cfRule type="containsText" rank="0" priority="16" equalAverage="0" operator="containsText" aboveAverage="0" dxfId="0" text="Blocked" percent="0" bottom="0">
      <formula>NOT(ISERROR(SEARCH("Blocked",F6)))</formula>
    </cfRule>
    <cfRule type="containsText" rank="0" priority="17" equalAverage="0" operator="containsText" aboveAverage="0" dxfId="0" text="unresolved" percent="0" bottom="0">
      <formula>NOT(ISERROR(SEARCH("unresolved",F6)))</formula>
    </cfRule>
    <cfRule type="containsText" rank="0" priority="18" equalAverage="0" operator="containsText" aboveAverage="0" dxfId="15" text="Not started" percent="0" bottom="0">
      <formula>NOT(ISERROR(SEARCH("Not started",F6)))</formula>
    </cfRule>
    <cfRule type="containsText" rank="0" priority="19" equalAverage="0" operator="containsText" aboveAverage="0" dxfId="15" text="Not evidenced" percent="0" bottom="0">
      <formula>NOT(ISERROR(SEARCH("Not evidenced",F6)))</formula>
    </cfRule>
  </conditionalFormatting>
  <conditionalFormatting sqref="G6:G25">
    <cfRule type="containsText" rank="0" priority="20" equalAverage="0" operator="containsText" aboveAverage="0" dxfId="13" text="Approved" percent="0" bottom="0">
      <formula>NOT(ISERROR(SEARCH("Approved",G6)))</formula>
    </cfRule>
    <cfRule type="containsText" rank="0" priority="21" equalAverage="0" operator="containsText" aboveAverage="0" dxfId="13" text="Passed" percent="0" bottom="0">
      <formula>NOT(ISERROR(SEARCH("Passed",G6)))</formula>
    </cfRule>
    <cfRule type="containsText" rank="0" priority="22" equalAverage="0" operator="containsText" aboveAverage="0" dxfId="13" text="Released" percent="0" bottom="0">
      <formula>NOT(ISERROR(SEARCH("Released",G6)))</formula>
    </cfRule>
    <cfRule type="containsText" rank="0" priority="23" equalAverage="0" operator="containsText" aboveAverage="0" dxfId="1" text="Project Owner review" percent="0" bottom="0">
      <formula>NOT(ISERROR(SEARCH("Project Owner review",G6)))</formula>
    </cfRule>
    <cfRule type="containsText" rank="0" priority="24" equalAverage="0" operator="containsText" aboveAverage="0" dxfId="14" text="Pending" percent="0" bottom="0">
      <formula>NOT(ISERROR(SEARCH("Pending",G6)))</formula>
    </cfRule>
    <cfRule type="containsText" rank="0" priority="25" equalAverage="0" operator="containsText" aboveAverage="0" dxfId="0" text="Blocked" percent="0" bottom="0">
      <formula>NOT(ISERROR(SEARCH("Blocked",G6)))</formula>
    </cfRule>
    <cfRule type="containsText" rank="0" priority="26" equalAverage="0" operator="containsText" aboveAverage="0" dxfId="0" text="unresolved" percent="0" bottom="0">
      <formula>NOT(ISERROR(SEARCH("unresolved",G6)))</formula>
    </cfRule>
    <cfRule type="containsText" rank="0" priority="27" equalAverage="0" operator="containsText" aboveAverage="0" dxfId="15" text="Not started" percent="0" bottom="0">
      <formula>NOT(ISERROR(SEARCH("Not started",G6)))</formula>
    </cfRule>
    <cfRule type="containsText" rank="0" priority="28" equalAverage="0" operator="containsText" aboveAverage="0" dxfId="15" text="Not evidenced" percent="0" bottom="0">
      <formula>NOT(ISERROR(SEARCH("Not evidenced",G6)))</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tabColor rgb="FF4472C4"/>
    <outlinePr summaryBelow="1" summaryRight="1"/>
    <pageSetUpPr fitToPage="0"/>
  </sheetPr>
  <dimension ref="A1:Z20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14" customWidth="1" style="14" min="1" max="1"/>
    <col width="56" customWidth="1" style="14" min="2" max="2"/>
    <col width="14" customWidth="1" style="14" min="3" max="3"/>
    <col width="34" customWidth="1" style="14" min="4" max="4"/>
    <col width="46" customWidth="1" style="14" min="5" max="6"/>
  </cols>
  <sheetData>
    <row r="1" ht="37.5" customHeight="1" s="15">
      <c r="A1" s="16" t="inlineStr">
        <is>
          <t>Controlled decisions</t>
        </is>
      </c>
      <c r="G1" s="17" t="n"/>
      <c r="H1" s="17" t="n"/>
      <c r="I1" s="17" t="n"/>
      <c r="J1" s="17" t="n"/>
      <c r="K1" s="17" t="n"/>
      <c r="L1" s="17" t="n"/>
      <c r="M1" s="17" t="n"/>
      <c r="N1" s="17" t="n"/>
      <c r="O1" s="17" t="n"/>
      <c r="P1" s="17" t="n"/>
      <c r="Q1" s="17" t="n"/>
      <c r="R1" s="17" t="n"/>
      <c r="S1" s="17" t="n"/>
      <c r="T1" s="17" t="n"/>
      <c r="U1" s="17" t="n"/>
      <c r="V1" s="17" t="n"/>
      <c r="W1" s="17" t="n"/>
      <c r="X1" s="17" t="n"/>
      <c r="Y1" s="17" t="n"/>
      <c r="Z1" s="17" t="n"/>
    </row>
    <row r="2" ht="33.75" customHeight="1" s="15">
      <c r="A2" s="18" t="inlineStr">
        <is>
          <t>Approved and proposed decisions remain explicit. A proposed decision does not replace an approved decision until approval records that effect.</t>
        </is>
      </c>
      <c r="G2" s="17" t="n"/>
      <c r="H2" s="17" t="n"/>
      <c r="I2" s="17" t="n"/>
      <c r="J2" s="17" t="n"/>
      <c r="K2" s="17" t="n"/>
      <c r="L2" s="17" t="n"/>
      <c r="M2" s="17" t="n"/>
      <c r="N2" s="17" t="n"/>
      <c r="O2" s="17" t="n"/>
      <c r="P2" s="17" t="n"/>
      <c r="Q2" s="17" t="n"/>
      <c r="R2" s="17" t="n"/>
      <c r="S2" s="17" t="n"/>
      <c r="T2" s="17" t="n"/>
      <c r="U2" s="17" t="n"/>
      <c r="V2" s="17" t="n"/>
      <c r="W2" s="17" t="n"/>
      <c r="X2" s="17" t="n"/>
      <c r="Y2" s="17" t="n"/>
      <c r="Z2" s="17" t="n"/>
    </row>
    <row r="3" ht="15" customHeight="1" s="15">
      <c r="A3" s="17" t="n"/>
      <c r="B3" s="17" t="n"/>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ht="15" customHeight="1" s="15">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row>
    <row r="5" ht="36" customHeight="1" s="15">
      <c r="A5" s="32" t="inlineStr">
        <is>
          <t>Decision ID</t>
        </is>
      </c>
      <c r="B5" s="32" t="inlineStr">
        <is>
          <t>Decision</t>
        </is>
      </c>
      <c r="C5" s="32" t="inlineStr">
        <is>
          <t>Status</t>
        </is>
      </c>
      <c r="D5" s="32" t="inlineStr">
        <is>
          <t>Owning document</t>
        </is>
      </c>
      <c r="E5" s="32" t="inlineStr">
        <is>
          <t>Implementation effect</t>
        </is>
      </c>
      <c r="F5" s="32" t="inlineStr">
        <is>
          <t>Design effect</t>
        </is>
      </c>
      <c r="G5" s="17" t="n"/>
      <c r="H5" s="17" t="n"/>
      <c r="I5" s="17" t="n"/>
      <c r="J5" s="17" t="n"/>
      <c r="K5" s="17" t="n"/>
      <c r="L5" s="17" t="n"/>
      <c r="M5" s="17" t="n"/>
      <c r="N5" s="17" t="n"/>
      <c r="O5" s="17" t="n"/>
      <c r="P5" s="17" t="n"/>
      <c r="Q5" s="17" t="n"/>
      <c r="R5" s="17" t="n"/>
      <c r="S5" s="17" t="n"/>
      <c r="T5" s="17" t="n"/>
      <c r="U5" s="17" t="n"/>
      <c r="V5" s="17" t="n"/>
      <c r="W5" s="17" t="n"/>
      <c r="X5" s="17" t="n"/>
      <c r="Y5" s="17" t="n"/>
      <c r="Z5" s="17" t="n"/>
    </row>
    <row r="6" ht="43.5" customHeight="1" s="15">
      <c r="A6" s="17" t="inlineStr">
        <is>
          <t>DEC-001</t>
        </is>
      </c>
      <c r="B6" s="27" t="inlineStr">
        <is>
          <t>Each site represents one procuring entity for MVP; organisational units are scoped within it.</t>
        </is>
      </c>
      <c r="C6" s="17" t="inlineStr">
        <is>
          <t>Approved</t>
        </is>
      </c>
      <c r="D6" s="27" t="inlineStr">
        <is>
          <t>CFG-CHG-002 / AUTH-ADR-001</t>
        </is>
      </c>
      <c r="E6" s="27" t="inlineStr">
        <is>
          <t>Do not add routine procuring-entity selectors.</t>
        </is>
      </c>
      <c r="F6" s="27" t="inlineStr">
        <is>
          <t>Show organisational scope only where it affects the task.</t>
        </is>
      </c>
      <c r="G6" s="17" t="n"/>
      <c r="H6" s="17" t="n"/>
      <c r="I6" s="17" t="n"/>
      <c r="J6" s="17" t="n"/>
      <c r="K6" s="17" t="n"/>
      <c r="L6" s="17" t="n"/>
      <c r="M6" s="17" t="n"/>
      <c r="N6" s="17" t="n"/>
      <c r="O6" s="17" t="n"/>
      <c r="P6" s="17" t="n"/>
      <c r="Q6" s="17" t="n"/>
      <c r="R6" s="17" t="n"/>
      <c r="S6" s="17" t="n"/>
      <c r="T6" s="17" t="n"/>
      <c r="U6" s="17" t="n"/>
      <c r="V6" s="17" t="n"/>
      <c r="W6" s="17" t="n"/>
      <c r="X6" s="17" t="n"/>
      <c r="Y6" s="17" t="n"/>
      <c r="Z6" s="17" t="n"/>
    </row>
    <row r="7" ht="43.5" customHeight="1" s="15">
      <c r="A7" s="17" t="inlineStr">
        <is>
          <t>DEC-002</t>
        </is>
      </c>
      <c r="B7" s="27" t="inlineStr">
        <is>
          <t>Departmental consultation is optional evidence, not a mandatory workflow gate.</t>
        </is>
      </c>
      <c r="C7" s="17" t="inlineStr">
        <is>
          <t>Approved</t>
        </is>
      </c>
      <c r="D7" s="27" t="inlineStr">
        <is>
          <t>NDS-CHG-001</t>
        </is>
      </c>
      <c r="E7" s="27" t="inlineStr">
        <is>
          <t>Acceptance remains possible without consultation when authorised.</t>
        </is>
      </c>
      <c r="F7" s="27" t="inlineStr">
        <is>
          <t>Keep consultation in supporting detail.</t>
        </is>
      </c>
      <c r="G7" s="17" t="n"/>
      <c r="H7" s="17" t="n"/>
      <c r="I7" s="17" t="n"/>
      <c r="J7" s="17" t="n"/>
      <c r="K7" s="17" t="n"/>
      <c r="L7" s="17" t="n"/>
      <c r="M7" s="17" t="n"/>
      <c r="N7" s="17" t="n"/>
      <c r="O7" s="17" t="n"/>
      <c r="P7" s="17" t="n"/>
      <c r="Q7" s="17" t="n"/>
      <c r="R7" s="17" t="n"/>
      <c r="S7" s="17" t="n"/>
      <c r="T7" s="17" t="n"/>
      <c r="U7" s="17" t="n"/>
      <c r="V7" s="17" t="n"/>
      <c r="W7" s="17" t="n"/>
      <c r="X7" s="17" t="n"/>
      <c r="Y7" s="17" t="n"/>
      <c r="Z7" s="17" t="n"/>
    </row>
    <row r="8" ht="43.5" customHeight="1" s="15">
      <c r="A8" s="17" t="inlineStr">
        <is>
          <t>DEC-003</t>
        </is>
      </c>
      <c r="B8" s="27" t="inlineStr">
        <is>
          <t>Requisitions and bids use structured requirement rows rather than attachment-first data capture.</t>
        </is>
      </c>
      <c r="C8" s="17" t="inlineStr">
        <is>
          <t>Approved</t>
        </is>
      </c>
      <c r="D8" s="27" t="inlineStr">
        <is>
          <t>REQ-CHG-001 / STD-TPL-001 / BDS-CHG-001</t>
        </is>
      </c>
      <c r="E8" s="27" t="inlineStr">
        <is>
          <t>Preserve stable row identities and typed responses.</t>
        </is>
      </c>
      <c r="F8" s="27" t="inlineStr">
        <is>
          <t>Generate concise task-oriented sections from metadata.</t>
        </is>
      </c>
      <c r="G8" s="17" t="n"/>
      <c r="H8" s="17" t="n"/>
      <c r="I8" s="17" t="n"/>
      <c r="J8" s="17" t="n"/>
      <c r="K8" s="17" t="n"/>
      <c r="L8" s="17" t="n"/>
      <c r="M8" s="17" t="n"/>
      <c r="N8" s="17" t="n"/>
      <c r="O8" s="17" t="n"/>
      <c r="P8" s="17" t="n"/>
      <c r="Q8" s="17" t="n"/>
      <c r="R8" s="17" t="n"/>
      <c r="S8" s="17" t="n"/>
      <c r="T8" s="17" t="n"/>
      <c r="U8" s="17" t="n"/>
      <c r="V8" s="17" t="n"/>
      <c r="W8" s="17" t="n"/>
      <c r="X8" s="17" t="n"/>
      <c r="Y8" s="17" t="n"/>
      <c r="Z8" s="17" t="n"/>
    </row>
    <row r="9" ht="43.5" customHeight="1" s="15">
      <c r="A9" s="17" t="inlineStr">
        <is>
          <t>DEC-004</t>
        </is>
      </c>
      <c r="B9" s="27" t="inlineStr">
        <is>
          <t>Tender formats are curated controlled releases; administrators do not build legal templates through a generic field wizard.</t>
        </is>
      </c>
      <c r="C9" s="17" t="inlineStr">
        <is>
          <t>Approved</t>
        </is>
      </c>
      <c r="D9" s="27" t="inlineStr">
        <is>
          <t>STD-TPL-001</t>
        </is>
      </c>
      <c r="E9" s="27" t="inlineStr">
        <is>
          <t>Release tooling is controlled and manifest-based.</t>
        </is>
      </c>
      <c r="F9" s="27" t="inlineStr">
        <is>
          <t>Admin UI shows content and site On/Off state, never a generic schema editor.</t>
        </is>
      </c>
      <c r="G9" s="17" t="n"/>
      <c r="H9" s="17" t="n"/>
      <c r="I9" s="17" t="n"/>
      <c r="J9" s="17" t="n"/>
      <c r="K9" s="17" t="n"/>
      <c r="L9" s="17" t="n"/>
      <c r="M9" s="17" t="n"/>
      <c r="N9" s="17" t="n"/>
      <c r="O9" s="17" t="n"/>
      <c r="P9" s="17" t="n"/>
      <c r="Q9" s="17" t="n"/>
      <c r="R9" s="17" t="n"/>
      <c r="S9" s="17" t="n"/>
      <c r="T9" s="17" t="n"/>
      <c r="U9" s="17" t="n"/>
      <c r="V9" s="17" t="n"/>
      <c r="W9" s="17" t="n"/>
      <c r="X9" s="17" t="n"/>
      <c r="Y9" s="17" t="n"/>
      <c r="Z9" s="17" t="n"/>
    </row>
    <row r="10" ht="43.5" customHeight="1" s="15">
      <c r="A10" s="17" t="inlineStr">
        <is>
          <t>DEC-005</t>
        </is>
      </c>
      <c r="B10" s="27" t="inlineStr">
        <is>
          <t>Move tender-format administration to a dedicated STD Templates menu.</t>
        </is>
      </c>
      <c r="C10" s="17" t="inlineStr">
        <is>
          <t>Approved</t>
        </is>
      </c>
      <c r="D10" s="27" t="inlineStr">
        <is>
          <t>STD-TPL-001 / CFG-CHG-002</t>
        </is>
      </c>
      <c r="E10" s="27" t="inlineStr">
        <is>
          <t>One authoritative inspection surface.</t>
        </is>
      </c>
      <c r="F10" s="27" t="inlineStr">
        <is>
          <t>List, detail, previews, verification and release state are visible.</t>
        </is>
      </c>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ht="43.5" customHeight="1" s="15">
      <c r="A11" s="17" t="inlineStr">
        <is>
          <t>DEC-006</t>
        </is>
      </c>
      <c r="B11" s="27" t="inlineStr">
        <is>
          <t>The statutory 30% reservation denominator is the eligible value of the current complete APP, not the Budget ceiling.</t>
        </is>
      </c>
      <c r="C11" s="17" t="inlineStr">
        <is>
          <t>Approved</t>
        </is>
      </c>
      <c r="D11" s="27" t="inlineStr">
        <is>
          <t>LAW-REG-001 / PLN-CHG-001</t>
        </is>
      </c>
      <c r="E11" s="27" t="inlineStr">
        <is>
          <t>Compute from APP items and preserve denominator evidence.</t>
        </is>
      </c>
      <c r="F11" s="27" t="inlineStr">
        <is>
          <t>Show progress and lawful treatment without exposing internal rule machinery by default.</t>
        </is>
      </c>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ht="43.5" customHeight="1" s="15">
      <c r="A12" s="17" t="inlineStr">
        <is>
          <t>DEC-007</t>
        </is>
      </c>
      <c r="B12" s="27" t="inlineStr">
        <is>
          <t>Budget ceiling and affordability remain separate from the statutory reservation measure.</t>
        </is>
      </c>
      <c r="C12" s="17" t="inlineStr">
        <is>
          <t>Approved</t>
        </is>
      </c>
      <c r="D12" s="27" t="inlineStr">
        <is>
          <t>BUD-CHG-001 / PLN-CHG-001</t>
        </is>
      </c>
      <c r="E12" s="27" t="inlineStr">
        <is>
          <t>Separate services and data contracts.</t>
        </is>
      </c>
      <c r="F12" s="27" t="inlineStr">
        <is>
          <t>Do not ask users to enter a reservation denominator in Budget.</t>
        </is>
      </c>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ht="43.5" customHeight="1" s="15">
      <c r="A13" s="17" t="inlineStr">
        <is>
          <t>DEC-008</t>
        </is>
      </c>
      <c r="B13" s="27" t="inlineStr">
        <is>
          <t>County resident procurement is a separate measure from the 30% reservation programme.</t>
        </is>
      </c>
      <c r="C13" s="17" t="inlineStr">
        <is>
          <t>Approved</t>
        </is>
      </c>
      <c r="D13" s="27" t="inlineStr">
        <is>
          <t>LAW-REG-001 / PLN-CHG-001</t>
        </is>
      </c>
      <c r="E13" s="27" t="inlineStr">
        <is>
          <t>Separate flags, rules and reports.</t>
        </is>
      </c>
      <c r="F13" s="27" t="inlineStr">
        <is>
          <t>Do not combine them into one designation field or result.</t>
        </is>
      </c>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ht="43.5" customHeight="1" s="15">
      <c r="A14" s="17" t="inlineStr">
        <is>
          <t>DEC-009</t>
        </is>
      </c>
      <c r="B14" s="27" t="inlineStr">
        <is>
          <t>Tender Preparation and Tender Publication form one Tenders module and one coherent user journey.</t>
        </is>
      </c>
      <c r="C14" s="17" t="inlineStr">
        <is>
          <t>Approved</t>
        </is>
      </c>
      <c r="D14" s="27" t="inlineStr">
        <is>
          <t>TPR-CHG-001</t>
        </is>
      </c>
      <c r="E14" s="27" t="inlineStr">
        <is>
          <t>One lifecycle and ownership model.</t>
        </is>
      </c>
      <c r="F14" s="27" t="inlineStr">
        <is>
          <t>Preparation naturally continues into approval and publication evidence.</t>
        </is>
      </c>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ht="43.5" customHeight="1" s="15">
      <c r="A15" s="17" t="inlineStr">
        <is>
          <t>DEC-010</t>
        </is>
      </c>
      <c r="B15" s="27" t="inlineStr">
        <is>
          <t>For MVP, HOPF may manually confirm publication evidence for any configured channel; integration is not presumed.</t>
        </is>
      </c>
      <c r="C15" s="17" t="inlineStr">
        <is>
          <t>Approved</t>
        </is>
      </c>
      <c r="D15" s="27" t="inlineStr">
        <is>
          <t>TPR-CHG-001 / CFG-CHG-002</t>
        </is>
      </c>
      <c r="E15" s="27" t="inlineStr">
        <is>
          <t>Support manual evidence with actor/time/digest/reference.</t>
        </is>
      </c>
      <c r="F15" s="27" t="inlineStr">
        <is>
          <t>Show one channel list with the appropriate confirmation action.</t>
        </is>
      </c>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ht="43.5" customHeight="1" s="15">
      <c r="A16" s="17" t="inlineStr">
        <is>
          <t>DEC-011</t>
        </is>
      </c>
      <c r="B16" s="27" t="inlineStr">
        <is>
          <t>Suppliers start a bid atomically; there is no separate Declare interest or Follow Tender workflow.</t>
        </is>
      </c>
      <c r="C16" s="17" t="inlineStr">
        <is>
          <t>Approved</t>
        </is>
      </c>
      <c r="D16" s="27" t="inlineStr">
        <is>
          <t>BDS-CHG-001</t>
        </is>
      </c>
      <c r="E16" s="27" t="inlineStr">
        <is>
          <t>Create candidate registration, contact and workspace together.</t>
        </is>
      </c>
      <c r="F16" s="27" t="inlineStr">
        <is>
          <t>Use one direct Start bid action.</t>
        </is>
      </c>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ht="43.5" customHeight="1" s="15">
      <c r="A17" s="17" t="inlineStr">
        <is>
          <t>DEC-012</t>
        </is>
      </c>
      <c r="B17" s="27" t="inlineStr">
        <is>
          <t>General clarifications may be published before the deadline without disclosing candidate identity.</t>
        </is>
      </c>
      <c r="C17" s="17" t="inlineStr">
        <is>
          <t>Approved</t>
        </is>
      </c>
      <c r="D17" s="27" t="inlineStr">
        <is>
          <t>TPR-CHG-001 / BDS-CHG-001</t>
        </is>
      </c>
      <c r="E17" s="27" t="inlineStr">
        <is>
          <t>Separate question identity from public answer content.</t>
        </is>
      </c>
      <c r="F17" s="27" t="inlineStr">
        <is>
          <t>Suppliers see published clarification updates in the workspace.</t>
        </is>
      </c>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ht="43.5" customHeight="1" s="15">
      <c r="A18" s="17" t="inlineStr">
        <is>
          <t>DEC-013</t>
        </is>
      </c>
      <c r="B18" s="27" t="inlineStr">
        <is>
          <t>Any change to issued tender requirements requires an addendum with immutable identity and acknowledgement treatment.</t>
        </is>
      </c>
      <c r="C18" s="17" t="inlineStr">
        <is>
          <t>Approved</t>
        </is>
      </c>
      <c r="D18" s="27" t="inlineStr">
        <is>
          <t>TPR-CHG-001 / BDS-CHG-001</t>
        </is>
      </c>
      <c r="E18" s="27" t="inlineStr">
        <is>
          <t>Clarification cannot mutate published rows.</t>
        </is>
      </c>
      <c r="F18" s="27" t="inlineStr">
        <is>
          <t>Clearly distinguish Clarification from Addendum.</t>
        </is>
      </c>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ht="43.5" customHeight="1" s="15">
      <c r="A19" s="17" t="inlineStr">
        <is>
          <t>DEC-014</t>
        </is>
      </c>
      <c r="B19" s="27" t="inlineStr">
        <is>
          <t>Production electronic submission remains disabled by one deployment flag until operating and release gates pass.</t>
        </is>
      </c>
      <c r="C19" s="17" t="inlineStr">
        <is>
          <t>Approved</t>
        </is>
      </c>
      <c r="D19" s="27" t="inlineStr">
        <is>
          <t>BDS-CHG-001 / G1-REG-001</t>
        </is>
      </c>
      <c r="E19" s="27" t="inlineStr">
        <is>
          <t>Central gate; drafts remain safe.</t>
        </is>
      </c>
      <c r="F19" s="27" t="inlineStr">
        <is>
          <t>Use the approved temporary-unavailability message.</t>
        </is>
      </c>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ht="43.5" customHeight="1" s="15">
      <c r="A20" s="17" t="inlineStr">
        <is>
          <t>DEC-015</t>
        </is>
      </c>
      <c r="B20" s="27" t="inlineStr">
        <is>
          <t>Gate 1 ends when a sealed Bid Submission handoff is created; opening and evaluation are outside the current slice.</t>
        </is>
      </c>
      <c r="C20" s="17" t="inlineStr">
        <is>
          <t>Approved</t>
        </is>
      </c>
      <c r="D20" s="27" t="inlineStr">
        <is>
          <t>G1-REG-001 / BDS-CHG-001</t>
        </is>
      </c>
      <c r="E20" s="27" t="inlineStr">
        <is>
          <t>No premature downstream state changes.</t>
        </is>
      </c>
      <c r="F20" s="27" t="inlineStr">
        <is>
          <t>Receipt and submitted state only.</t>
        </is>
      </c>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43.5" customHeight="1" s="15">
      <c r="A21" s="17" t="inlineStr">
        <is>
          <t>DEC-016</t>
        </is>
      </c>
      <c r="B21" s="27" t="inlineStr">
        <is>
          <t>Bid Opening, Evaluation and Award, Supplier Management, additional methods/products, Contract Management and integrations remain explicitly planned future work.</t>
        </is>
      </c>
      <c r="C21" s="17" t="inlineStr">
        <is>
          <t>Approved</t>
        </is>
      </c>
      <c r="D21" s="27" t="inlineStr">
        <is>
          <t>KT-RCA-001 / G1-REG-001</t>
        </is>
      </c>
      <c r="E21" s="27" t="inlineStr">
        <is>
          <t>Preserve extension contracts without implementing hidden workflows.</t>
        </is>
      </c>
      <c r="F21" s="27" t="inlineStr">
        <is>
          <t>Do not expose placeholder journeys as current capability.</t>
        </is>
      </c>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43.5" customHeight="1" s="15">
      <c r="A22" s="17" t="inlineStr">
        <is>
          <t>DEC-017</t>
        </is>
      </c>
      <c r="B22" s="27" t="inlineStr">
        <is>
          <t>No meaningful record state may dead-end: the server must return exactly one actionable-now, waiting, blocked-with-remedy or completed next-step outcome for the current responsibility.</t>
        </is>
      </c>
      <c r="C22" s="17" t="inlineStr">
        <is>
          <t>Approved</t>
        </is>
      </c>
      <c r="D22" s="27" t="inlineStr">
        <is>
          <t>KT-STD-001 v1.9 / current module document</t>
        </is>
      </c>
      <c r="E22" s="27" t="inlineStr">
        <is>
          <t>Centralise next-step and guard evaluation and test every supported persona/state pair.</t>
        </is>
      </c>
      <c r="F22" s="27" t="inlineStr">
        <is>
          <t>Show one direct next-step block with owner and correction route; do not leave users to infer workflow from status.</t>
        </is>
      </c>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43.5" customHeight="1" s="15">
      <c r="A23" s="17" t="inlineStr">
        <is>
          <t>DEC-018</t>
        </is>
      </c>
      <c r="B23" s="27" t="inlineStr">
        <is>
          <t>A Planning budget revision request is a cross-module hand-off only; it is not an amount change, reservation, budget revision or approval.</t>
        </is>
      </c>
      <c r="C23" s="17" t="inlineStr">
        <is>
          <t>Approved</t>
        </is>
      </c>
      <c r="D23" s="27" t="inlineStr">
        <is>
          <t>PLN-CHG-001 v1.27 / BUD-CHG-001 v1.11</t>
        </is>
      </c>
      <c r="E23" s="27" t="inlineStr">
        <is>
          <t>Keep Planning request identity and Budget-owned outcome separate from allocation facts.</t>
        </is>
      </c>
      <c r="F23" s="27" t="inlineStr">
        <is>
          <t>Explain what was requested, who acts next and what outcome returned without implying that funding changed.</t>
        </is>
      </c>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43.5" customHeight="1" s="15">
      <c r="A24" s="17" t="inlineStr">
        <is>
          <t>DEC-021</t>
        </is>
      </c>
      <c r="B24" s="27" t="inlineStr">
        <is>
          <t>STD Templates provides inspection and concern capture; an audited deployment-only command switches template use On or Off.</t>
        </is>
      </c>
      <c r="C24" s="17" t="inlineStr">
        <is>
          <t>Approved</t>
        </is>
      </c>
      <c r="D24" s="27" t="inlineStr">
        <is>
          <t>STD-TPL-001 v0.10 / FU-01 OD5</t>
        </is>
      </c>
      <c r="E24" s="27" t="inlineStr">
        <is>
          <t>Install verified immutable assets On by default or Off on request; prohibit editable content DocTypes and Desk switching.</t>
        </is>
      </c>
      <c r="F24" s="27" t="inlineStr">
        <is>
          <t>Show coverage and switch state; no Desk switch.</t>
        </is>
      </c>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43.5" customHeight="1" s="15">
      <c r="A25" s="17" t="inlineStr">
        <is>
          <t>DEC-022</t>
        </is>
      </c>
      <c r="B25" s="27" t="inlineStr">
        <is>
          <t>Fixture and production Bid-definition generation use one deterministic compiler and releases bind a versioned renderer adapter.</t>
        </is>
      </c>
      <c r="C25" s="17" t="inlineStr">
        <is>
          <t>Approved</t>
        </is>
      </c>
      <c r="D25" s="27" t="inlineStr">
        <is>
          <t>STD-TPL-001 v0.10 / STD-TPL-IMP-001 v1.1</t>
        </is>
      </c>
      <c r="E25" s="27" t="inlineStr">
        <is>
          <t>One compiler implementation; adapter-bound rendering; no arbitrary fallback.</t>
        </is>
      </c>
      <c r="F25" s="27" t="inlineStr">
        <is>
          <t>Routine users see supported/unavailable outcomes; technical identities remain in collapsed detail.</t>
        </is>
      </c>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43.5" customHeight="1" s="15">
      <c r="A26" s="17" t="inlineStr">
        <is>
          <t>DEC-023</t>
        </is>
      </c>
      <c r="B26" s="27" t="inlineStr">
        <is>
          <t>Turning a release Off does not automatically rebind or block an already-bound Tender; safety/legal withdrawal blocks affected unpublished publication.</t>
        </is>
      </c>
      <c r="C26" s="17" t="inlineStr">
        <is>
          <t>Approved</t>
        </is>
      </c>
      <c r="D26" s="27" t="inlineStr">
        <is>
          <t>STD-TPL-001 v0.10 / TPR-CHG-001 v0.12</t>
        </is>
      </c>
      <c r="E26" s="27" t="inlineStr">
        <is>
          <t>Preserve exact bindings and published history; apply the specific withdrawal exception.</t>
        </is>
      </c>
      <c r="F26" s="27" t="inlineStr">
        <is>
          <t>Show the site switch consequence and any withdrawal reason.</t>
        </is>
      </c>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43.5" customHeight="1" s="15">
      <c r="A27" s="17" t="inlineStr">
        <is>
          <t>DEC-019</t>
        </is>
      </c>
      <c r="B27" s="27" t="inlineStr">
        <is>
          <t>Plan activation creates a REQ-owned Purchase ready for requisition item in the existing Ready to start surface.</t>
        </is>
      </c>
      <c r="C27" s="17" t="inlineStr">
        <is>
          <t>Approved</t>
        </is>
      </c>
      <c r="D27" s="27" t="inlineStr">
        <is>
          <t>PLN-CHG-001 v1.27 / REQ-CHG-001 v1.12</t>
        </is>
      </c>
      <c r="E27" s="27" t="inlineStr">
        <is>
          <t>Use the existing requisition aggregate and lifecycle; add no parallel task record, state, role, command or approval stage.</t>
        </is>
      </c>
      <c r="F27" s="27" t="inlineStr">
        <is>
          <t>Expose the ready item in the current requisition workspace, not as another screen or queue.</t>
        </is>
      </c>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43.5" customHeight="1" s="15">
      <c r="A28" s="17" t="inlineStr">
        <is>
          <t>DEC-020</t>
        </is>
      </c>
      <c r="B28" s="27" t="inlineStr">
        <is>
          <t>Journey orientation must help users act without duplicating or overwhelming the primary task.</t>
        </is>
      </c>
      <c r="C28" s="17" t="inlineStr">
        <is>
          <t>Approved</t>
        </is>
      </c>
      <c r="D28" s="27" t="inlineStr">
        <is>
          <t>KT-STD-001 v1.9 / Workflow Guidance Standard</t>
        </is>
      </c>
      <c r="E28" s="27" t="inlineStr">
        <is>
          <t>Derive restrained journey context from authoritative workflow state and hand-offs.</t>
        </is>
      </c>
      <c r="F28" s="27" t="inlineStr">
        <is>
          <t>Use concise stage orientation and supporting detail; never replace clear task language with internal state machinery.</t>
        </is>
      </c>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43.5" customHeight="1" s="15">
      <c r="A29" s="17" t="inlineStr">
        <is>
          <t>DEC-024</t>
        </is>
      </c>
      <c r="B29" s="27" t="inlineStr">
        <is>
          <t>Template use for new Tenders is a deployment-only per-site On/Off switch; installation needs no owner approval and sets On by default unless Off is requested.</t>
        </is>
      </c>
      <c r="C29" s="17" t="inlineStr">
        <is>
          <t>Approved</t>
        </is>
      </c>
      <c r="D29" s="27" t="inlineStr">
        <is>
          <t>STD-TPL-001 v0.10 / FU-01 OD5, 2026-09-26</t>
        </is>
      </c>
      <c r="E29" s="27" t="inlineStr">
        <is>
          <t>New binding requires exactly one On Available release per template key; multiple On releases refuse binding. Existing bindings stay pinned.</t>
        </is>
      </c>
      <c r="F29" s="27" t="inlineStr">
        <is>
          <t>Read-only On/Off state in STD Templates, with actor and time.</t>
        </is>
      </c>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43.5" customHeight="1" s="15">
      <c r="A30" s="17" t="inlineStr">
        <is>
          <t>DEC-025</t>
        </is>
      </c>
      <c r="B30" s="27" t="inlineStr">
        <is>
          <t>Keep ordinary authenticated workflow decisions distinct from statutory advanced electronic signatures; defer actual signing to the shared Trust, Signing and Custody support module.</t>
        </is>
      </c>
      <c r="C30" s="17" t="inlineStr">
        <is>
          <t>Approved</t>
        </is>
      </c>
      <c r="D30" s="27" t="inlineStr">
        <is>
          <t>TRUST-ADR-001 v0.1, 2026-09-27</t>
        </is>
      </c>
      <c r="E30" s="27" t="inlineStr">
        <is>
          <t>Exact-target, per-member test attestations allowed only with synthetic data and explicit test labels; real signing requires personal provider evidence and legal page/initial mapping.</t>
        </is>
      </c>
      <c r="F30" s="27" t="inlineStr">
        <is>
          <t>Show Test attestation in test profile; no generic approval as a signature.</t>
        </is>
      </c>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43.5" customHeight="1" s="15">
      <c r="A31" s="17" t="inlineStr">
        <is>
          <t>DEC-026</t>
        </is>
      </c>
      <c r="B31" s="27" t="inlineStr">
        <is>
          <t>Keep sealed-bid custody and multi-person opening release independent of chair/admin authority; defer real keys, provider and threshold to shared infrastructure.</t>
        </is>
      </c>
      <c r="C31" s="17" t="inlineStr">
        <is>
          <t>Approved</t>
        </is>
      </c>
      <c r="D31" s="27" t="inlineStr">
        <is>
          <t>TRUST-ADR-001 v0.1, 2026-09-27</t>
        </is>
      </c>
      <c r="E31" s="27" t="inlineStr">
        <is>
          <t>Synthetic tender-box and two-person test release may exercise ceremony; BDS production submission flag stays false and BOP production disabled until verified real services.</t>
        </is>
      </c>
      <c r="F31" s="27" t="inlineStr">
        <is>
          <t>Visible test-environment status and honest unavailable production guidance; no proxy receipt as a live Submitted bid.</t>
        </is>
      </c>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43.5" customHeight="1" s="15">
      <c r="A32" s="17" t="inlineStr">
        <is>
          <t>DEC-027</t>
        </is>
      </c>
      <c r="B32" s="27" t="inlineStr">
        <is>
          <t>The Bid Evaluation and Award fixtures run on the canonical Tender's generated reference; the specifications' "tender 033" (TND-MOH-2027-033) is an example of the generated form.</t>
        </is>
      </c>
      <c r="C32" s="17" t="inlineStr">
        <is>
          <t>Approved</t>
        </is>
      </c>
      <c r="D32" s="27" t="inlineStr">
        <is>
          <t>SEED-OPS-001 v1.17 §11 D19; Project Owner, 2026-10-01: "Keep generated codes"</t>
        </is>
      </c>
      <c r="E32" s="27" t="inlineStr">
        <is>
          <t>No seed change. EVL-CHG-001 §11.1 and AWD-CHG-001 §13 state the example form in their next versions.</t>
        </is>
      </c>
      <c r="F32" s="27" t="inlineStr">
        <is>
          <t>None.</t>
        </is>
      </c>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43.5" customHeight="1" s="15">
      <c r="A33" s="17" t="inlineStr">
        <is>
          <t>DEC-028</t>
        </is>
      </c>
      <c r="B33" s="27" t="inlineStr">
        <is>
          <t>The canonical seed exercises every module stage as it is built.</t>
        </is>
      </c>
      <c r="C33" s="17" t="inlineStr">
        <is>
          <t>Approved</t>
        </is>
      </c>
      <c r="D33" s="27" t="inlineStr">
        <is>
          <t>SEED-OPS-001 v1.17 §11 D20; Project Owner, 2026-10-01: "The seed should exercise all stages as they are built."</t>
        </is>
      </c>
      <c r="E33" s="27" t="inlineStr">
        <is>
          <t>Each module adds its canonical seed stage, validator and runbook entry when it is built, as Bid Submission, Bid Opening, Bid Evaluation and Award have. SEED-001's successor replaces v1.3 §5.2's "No opening/evaluation/award actual generated by this seed".</t>
        </is>
      </c>
      <c r="F33" s="27" t="inlineStr">
        <is>
          <t>None.</t>
        </is>
      </c>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43.5" customHeight="1" s="15">
      <c r="A34" s="17" t="inlineStr">
        <is>
          <t>DEC-029</t>
        </is>
      </c>
      <c r="B34" s="27" t="inlineStr">
        <is>
          <t>Follow proposed KT-STD v1.13 for Evaluation fixture actors: committee access comes from appointment; Esther uses Evaluation Technical Support for Evaluation incidents only.</t>
        </is>
      </c>
      <c r="C34" s="17" t="inlineStr">
        <is>
          <t>Approved</t>
        </is>
      </c>
      <c r="D34" s="27" t="inlineStr">
        <is>
          <t>SEED-OPS-001 v1.18 §11 D22 follow-up; owner: “Follow v1.13”; “Own responsibility”, 1 October 2026</t>
        </is>
      </c>
      <c r="E34" s="27" t="inlineStr">
        <is>
          <t>Retain the reported seed correction and removal of obsolete fixture grants. KT-STD v1.13 was subsequently approved in full on 1 October 2026; D22 approval is closed.</t>
        </is>
      </c>
      <c r="F34" s="27" t="inlineStr">
        <is>
          <t>No new user-facing step; preserve scoped committee and technical access.</t>
        </is>
      </c>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43.5" customHeight="1" s="15">
      <c r="A35" s="17" t="inlineStr">
        <is>
          <t>DEC-030</t>
        </is>
      </c>
      <c r="B35" s="27" t="inlineStr">
        <is>
          <t>Open Tender submission period: a verified legal minimum of 7 days blocks; the 21-day default is a planning assumption that is never a blocker. Shortening below the default requires a stated reason visible to approvers.</t>
        </is>
      </c>
      <c r="C35" s="17" t="inlineStr">
        <is>
          <t>Approved</t>
        </is>
      </c>
      <c r="D35" s="27" t="inlineStr">
        <is>
          <t>TPR-CHG-001 proposed v0.16 §21 (proposed); owner: “To build it as a 7-day verified minimum with a 21-day default”; “Shortening below the default to require a stated reason visible to approvers, but not be a blocker”, 2 October 2026. The legal basis is the Project Owner's research and is not verified against the primary text by the build.</t>
        </is>
      </c>
      <c r="E35" s="27" t="inlineStr">
        <is>
          <t>Schedule profile minimum 7 and default 21 held separately (seed and patch); Tenders blocks only below the minimum and requires a reason below the default; Review note shown to the Head of Procurement Function and Accounting Officer. Built uncommitted/committed per the Tenders tracker, TND16-004 to TND16-009.</t>
        </is>
      </c>
      <c r="F35" s="27" t="inlineStr">
        <is>
          <t>Tender details shows the hint, pre-fills the deadline from the issue date and shows a reason field when shorter; TPR-DES-03 to -07 variants. Boards not yet regenerated (TPR-CHG-001 FU-43).</t>
        </is>
      </c>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43.5" customHeight="1" s="15">
      <c r="A36" s="17" t="inlineStr">
        <is>
          <t>DEC-031</t>
        </is>
      </c>
      <c r="B36" s="27" t="inlineStr">
        <is>
          <t>Pre-fill the submission deadline from the issue date plus the usual period, never replacing an officer's entry.</t>
        </is>
      </c>
      <c r="C36" s="17" t="inlineStr">
        <is>
          <t>Approved</t>
        </is>
      </c>
      <c r="D36" s="27" t="inlineStr">
        <is>
          <t>TPR-CHG-001 proposed v0.16 §21 (proposed); owner: “Also add the pre-filling capability that you suggested”, 2 October 2026.</t>
        </is>
      </c>
      <c r="E36" s="27" t="inlineStr">
        <is>
          <t>Tender details form suggests issue date plus the usual days at 11:00; the server decides at review. The 11:00 closing time is new content awaiting confirmation (TPR-CHG-001 FU-42).</t>
        </is>
      </c>
      <c r="F36" s="27" t="inlineStr">
        <is>
          <t>TPR-DES-03 helper and pre-fill rule.</t>
        </is>
      </c>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43.5" customHeight="1" s="15">
      <c r="A37" s="17" t="inlineStr">
        <is>
          <t>DEC-032</t>
        </is>
      </c>
      <c r="B37" s="27" t="inlineStr">
        <is>
          <t>An Approved Tender whose deadline falls below the legal minimum puts a Reopen item on the Head of Procurement Function's My Work and a waiting item on the Accounting Officer's.</t>
        </is>
      </c>
      <c r="C37" s="17" t="inlineStr">
        <is>
          <t>Approved</t>
        </is>
      </c>
      <c r="D37" s="27" t="inlineStr">
        <is>
          <t>TPR-CHG-001 proposed v0.16 §5.11 and §21 (proposed); owner: “Build it”, 2 October 2026, answering “a My Work item for the head of procurement, cleared when the tender is reopened”.</t>
        </is>
      </c>
      <c r="E37" s="27" t="inlineStr">
        <is>
          <t>Derived when My Work is read; no stored record, no in-product alert (TPR-CHG-001 FU-41).</t>
        </is>
      </c>
      <c r="F37" s="27" t="inlineStr">
        <is>
          <t>No new screen; §5.11 hand-off row.</t>
        </is>
      </c>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43.5" customHeight="1" s="15">
      <c r="A38" s="17" t="inlineStr">
        <is>
          <t>DEC-033</t>
        </is>
      </c>
      <c r="B38" s="27" t="inlineStr">
        <is>
          <t>The Accounting Officer can return an approved package to the Head of Procurement Function with a reason before authorising; the Head of Procurement Function reopens it.</t>
        </is>
      </c>
      <c r="C38" s="17" t="inlineStr">
        <is>
          <t>Approved</t>
        </is>
      </c>
      <c r="D38" s="27" t="inlineStr">
        <is>
          <t>TPR-CHG-001 proposed v0.16 §21 (proposed); owner reply “See the attached” carrying the recommendation “Add a Return to Head of Procurement action for the accounting officer, before publication is authorised”, 2 October 2026. Reading to confirm: the copied Draft is created at the Head of Procurement Function's Reopen, not at the return (TPR-CHG-001 FU-39). The owner's legal research is not verified against the primary texts by the build.</t>
        </is>
      </c>
      <c r="E38" s="27" t="inlineStr">
        <is>
          <t>`ReturnApprovedTender`, the AO returned approved Tender hand-off, the Return action and dialog, next steps and My Work rows. Outright refusal before publication is not built and not decided (TPR-CHG-001 FU-40).</t>
        </is>
      </c>
      <c r="F38" s="27" t="inlineStr">
        <is>
          <t>TPR-DES-07 gains a secondary Return action, a dialog and a returned variant. Boards not yet regenerated (TPR-CHG-001 FU-43).</t>
        </is>
      </c>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43.5" customHeight="1" s="15">
      <c r="A39" s="17" t="inlineStr">
        <is>
          <t>DEC-034</t>
        </is>
      </c>
      <c r="B39" s="27" t="inlineStr">
        <is>
          <t>Digests, hashes and rule identifiers appear only under a labelled Technical details heading or section, never in a first-view area of a Tenders screen.</t>
        </is>
      </c>
      <c r="C39" s="17" t="inlineStr">
        <is>
          <t>Approved</t>
        </is>
      </c>
      <c r="D39" s="27" t="inlineStr">
        <is>
          <t>TPR-CHG-001 proposed v0.16 §21 and TPR16-AC-017; owner: “Why are digests leaking into primary user view? These type of data are expressly forbidden here and are only ever allowed under a discreet Technical Details section. This information is useless to normal users”, 2 October 2026. Resolves the conflict recorded as TPR-CHG-001 follow-up FU-36 (§10.8 item 2 asked for the digest; TPR09-AC-071 and §11.1 rule 15 forbid it).</t>
        </is>
      </c>
      <c r="E39" s="27" t="inlineStr">
        <is>
          <t>The package digest leaves the Accounting Officer's approval trail and the publication line; the History documents table drops its digest column and lists digests under a closed Technical details disclosure; the document dialog drops its reference. Tracker row TND16-015.</t>
        </is>
      </c>
      <c r="F39" s="27" t="inlineStr">
        <is>
          <t>TPR-DES-07, TPR-DES-08 and the History view lose the digest in their first view. Boards not yet regenerated (TPR-CHG-001 FU-43).</t>
        </is>
      </c>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43.5" customHeight="1" s="15">
      <c r="A40" s="17" t="inlineStr">
        <is>
          <t>DEC-035</t>
        </is>
      </c>
      <c r="B40" s="27" t="inlineStr">
        <is>
          <t>Confidential Business Questionnaire structure: Part A gives each of the nine conflict items its official wording and its own details field in a new template release (D1); item 9 keeps its official wording, is shown only when item 7 or 8 is Yes, and No is the answer needing committee assessment (D2); Part B replaces the collapsed ownership and persons-with-interest text boxes with a bounded repeating row group as a separate version (D3); published Tenders keep release 1.2 (D5). The number of rows (D4) is not decided.</t>
        </is>
      </c>
      <c r="C40" s="17" t="inlineStr">
        <is>
          <t>Approved</t>
        </is>
      </c>
      <c r="D40" s="27" t="inlineStr">
        <is>
          <t>KenTender_STD-TPL-001_Change_Request_Questionnaire_Structure_2026-10-02.md; Project Owner, 2 October 2026: "Mark it as approved" and "I approve the recommendations"</t>
        </is>
      </c>
      <c r="E40" s="27" t="inlineStr">
        <is>
          <t>Part A needs no new vocabulary; Part B needs a new composition and renderer version. Neither can be fixed in Bid Submission. D2's legal reading is not verified against a primary source.</t>
        </is>
      </c>
      <c r="F40" s="27" t="inlineStr">
        <is>
          <t>Suppliers and evaluators read each conflict item in words; official tables appear as rows with named columns once Part B is made.</t>
        </is>
      </c>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43.5" customHeight="1" s="15">
      <c r="A41" s="17" t="inlineStr">
        <is>
          <t>DEC-036</t>
        </is>
      </c>
      <c r="B41" s="27" t="inlineStr">
        <is>
          <t>Template walkthrough: a read-only, full-screen walkthrough shows how an STD release drives a Tender (preparation, documents, supplier bid drawn by the registered renderer, evaluation and contract), offered from STD Templates and from a Tender before and after publication, with release-validator checks for missing item wording and collapsed official tables. Recommendations R1–R5 approved.</t>
        </is>
      </c>
      <c r="C41" s="17" t="inlineStr">
        <is>
          <t>Approved</t>
        </is>
      </c>
      <c r="D41" s="27" t="inlineStr">
        <is>
          <t>KenTender_STD-TPL-001_Change_Request_Template_Walkthrough_2026-10-02.md §§8 and 13; Project Owner, 2 October 2026: "1. Both 2. Full-screen route 3. Yes" and "This is approved, together with your recommendations. Update the documents appropriately with care"; carried into STD-TPL-001 proposed v0.14</t>
        </is>
      </c>
      <c r="E41" s="27" t="inlineStr">
        <is>
          <t>Compile the release fixture at installation; reuse the shared compiler for an unpublished-Tender preview; run the registered renderer in a walkthrough mode; add validator checks 22 and 23 with the release carrying Part A (R5).</t>
        </is>
      </c>
      <c r="F41" s="27" t="inlineStr">
        <is>
          <t>New STD-DES-03 walkthrough route; Walk through supplier bid action on STD Templates and Tender review, approval, authorisation and published records; not a gate (OD5).</t>
        </is>
      </c>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 customHeight="1" s="15">
      <c r="A42" s="17" t="inlineStr">
        <is>
          <t>DEC-037</t>
        </is>
      </c>
      <c r="B42" s="27" t="inlineStr">
        <is>
          <t>The Tenders work-summary cards always add up to the queue below them: finished and stopped Tenders have cards (Published — open, Closed), the Head of Procurement Function has Ready to start, and a status with no card of its own counts as In progress.</t>
        </is>
      </c>
      <c r="C42" s="17" t="inlineStr">
        <is>
          <t>Approved</t>
        </is>
      </c>
      <c r="D42" s="27" t="inlineStr">
        <is>
          <t>TPR-CHG-001 proposed v0.16 §10.2 and TPR16-AC-019; owner: “The pattern of incomplete status card info still persists. See the attached. This is worse than if we did not have cards at all”, 3 October 2026. Supersedes the 2 October rule that counted only Tenders in flight.</t>
        </is>
      </c>
      <c r="E42" s="27" t="inlineStr">
        <is>
          <t>One function maps every row to one card for both the counts and the card filters. Tracker row TND16-017.</t>
        </is>
      </c>
      <c r="F42" s="27" t="inlineStr">
        <is>
          <t>TPR-DES-01 card sets per persona and a Closed variant. Boards not yet regenerated (TPR-CHG-001 FU-43).</t>
        </is>
      </c>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 customHeight="1" s="15">
      <c r="A43" s="17" t="inlineStr">
        <is>
          <t>DEC-038</t>
        </is>
      </c>
      <c r="B43" s="27" t="inlineStr">
        <is>
          <t>The canonical Tender receives four bids: Afya Digital Supplies Limited (wins), Jirani Office Supplies Limited (responsive, ranked second), Pwani Tech Distributors Limited (cheapest, fails technical compliance automatically) and Mlima Computer Solutions Limited (fails eligibility on the committee's evidence finding).</t>
        </is>
      </c>
      <c r="C43" s="17" t="inlineStr">
        <is>
          <t>Approved</t>
        </is>
      </c>
      <c r="D43" s="27" t="inlineStr">
        <is>
          <t>SEED-OPS-001 v1.21 §11 D23; Project Owner, 2026-10-03: "Four bids"</t>
        </is>
      </c>
      <c r="E43" s="27" t="inlineStr">
        <is>
          <t>Bid Submission, Bid Opening, Bid Evaluation and Award seeds build and validate four bids; every unsuccessful bidder receives a notice. BDS-CHG-001 §13.3, BOP-CHG-001 §10, EVL-CHG-001 §11.1, AWD-CHG-001 §13 and SEED-001's successor state the four-bid story in their next versions. New supplier names are proposed in KT-STD-001 v1.14.</t>
        </is>
      </c>
      <c r="F43" s="27" t="inlineStr">
        <is>
          <t>None.</t>
        </is>
      </c>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 customHeight="1" s="15">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 customHeight="1" s="1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 customHeight="1" s="15">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 customHeight="1" s="15">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 customHeight="1" s="15">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 customHeight="1" s="15">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 customHeight="1" s="15">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row>
    <row r="51" ht="15" customHeight="1" s="15">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row>
    <row r="52" ht="15" customHeight="1" s="15">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row>
    <row r="53" ht="15" customHeight="1" s="15">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row>
    <row r="54" ht="15" customHeight="1" s="15">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row>
    <row r="55" ht="15" customHeight="1" s="1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row>
    <row r="56" ht="15" customHeight="1" s="15">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row>
    <row r="57" ht="15" customHeight="1" s="15">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row>
    <row r="58" ht="15" customHeight="1" s="15">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row>
    <row r="59" ht="15" customHeight="1" s="15">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row>
    <row r="60" ht="15" customHeight="1" s="15">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row>
    <row r="61" ht="15" customHeight="1" s="15">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row>
    <row r="62" ht="15" customHeight="1" s="15">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row>
    <row r="63" ht="15" customHeight="1" s="15">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row>
    <row r="64" ht="15" customHeight="1" s="15">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row>
    <row r="65" ht="15" customHeight="1" s="15">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row>
    <row r="66" ht="15" customHeight="1" s="15">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row>
    <row r="67" ht="15" customHeight="1" s="15">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row>
    <row r="68" ht="15" customHeight="1" s="15">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row>
    <row r="69" ht="15" customHeight="1" s="15">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row>
    <row r="70" ht="15" customHeight="1" s="15">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row>
    <row r="71" ht="15" customHeight="1" s="15">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row>
    <row r="72" ht="15" customHeight="1" s="15">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row>
    <row r="73" ht="15" customHeight="1" s="15">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row>
    <row r="74" ht="15" customHeight="1" s="15">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row>
    <row r="75" ht="15" customHeight="1" s="15">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row>
    <row r="76" ht="15" customHeight="1" s="15">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row>
    <row r="77" ht="15" customHeight="1" s="15">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row>
    <row r="78" ht="15" customHeight="1" s="15">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row>
    <row r="79" ht="15" customHeight="1" s="15">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row>
    <row r="80" ht="15" customHeight="1" s="15">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row>
    <row r="81" ht="15" customHeight="1" s="15">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row>
    <row r="82" ht="15" customHeight="1" s="15">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row>
    <row r="83" ht="15" customHeight="1" s="15">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row>
    <row r="84" ht="15" customHeight="1" s="15">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row>
    <row r="85" ht="15" customHeight="1" s="15">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row>
    <row r="86" ht="15" customHeight="1" s="15">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row>
    <row r="87" ht="15" customHeight="1" s="15">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row>
    <row r="88" ht="15" customHeight="1" s="15">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row>
    <row r="89" ht="15" customHeight="1" s="15">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row>
    <row r="90" ht="15" customHeight="1" s="15">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row>
    <row r="91" ht="15" customHeight="1" s="15">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row>
    <row r="92" ht="15" customHeight="1" s="15">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row>
    <row r="93" ht="15" customHeight="1" s="15">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row>
    <row r="94" ht="15" customHeight="1" s="15">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row>
    <row r="95" ht="15" customHeight="1" s="15">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row>
    <row r="96" ht="15" customHeight="1" s="15">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row>
    <row r="97" ht="15" customHeight="1" s="15">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row>
    <row r="98" ht="15" customHeight="1" s="15">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row>
    <row r="99" ht="15" customHeight="1" s="15">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row>
    <row r="100" ht="15" customHeight="1" s="15">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row>
    <row r="101" ht="15" customHeight="1" s="15">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row>
    <row r="102" ht="15" customHeight="1" s="15">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row>
    <row r="103" ht="15" customHeight="1" s="15">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row>
    <row r="104" ht="15" customHeight="1" s="15">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row>
    <row r="105" ht="15" customHeight="1" s="15">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row>
    <row r="106" ht="15" customHeight="1" s="15">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row>
    <row r="107" ht="15" customHeight="1" s="15">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row>
    <row r="108" ht="15" customHeight="1" s="15">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row>
    <row r="109" ht="15" customHeight="1" s="15">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row>
    <row r="110" ht="15" customHeight="1" s="15">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row>
    <row r="111" ht="15" customHeight="1" s="15">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row>
    <row r="112" ht="15" customHeight="1" s="15">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row>
    <row r="113" ht="15" customHeight="1" s="15">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row>
    <row r="114" ht="15" customHeight="1" s="15">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row>
    <row r="115" ht="15" customHeight="1" s="15">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row>
    <row r="116" ht="15" customHeight="1" s="15">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row>
    <row r="117" ht="15" customHeight="1" s="15">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row>
    <row r="118" ht="15" customHeight="1" s="15">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row>
    <row r="119" ht="15" customHeight="1" s="15">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row>
    <row r="120" ht="15" customHeight="1" s="15">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row>
    <row r="121" ht="15" customHeight="1" s="15">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row>
    <row r="122" ht="15" customHeight="1" s="15">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row>
    <row r="123" ht="15" customHeight="1" s="15">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row>
    <row r="124" ht="15" customHeight="1" s="15">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row>
    <row r="125" ht="15" customHeight="1" s="15">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row>
    <row r="126" ht="15" customHeight="1" s="15">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row>
    <row r="127" ht="15" customHeight="1" s="15">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row>
    <row r="128" ht="15" customHeight="1" s="15">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row>
    <row r="129" ht="15" customHeight="1" s="15">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row>
    <row r="130" ht="15" customHeight="1" s="15">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row>
    <row r="131" ht="15" customHeight="1" s="15">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row>
    <row r="132" ht="15" customHeight="1" s="15">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row>
    <row r="133" ht="15" customHeight="1" s="15">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row>
    <row r="134" ht="15" customHeight="1" s="15">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row>
    <row r="135" ht="15" customHeight="1" s="15">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row>
    <row r="136" ht="15" customHeight="1" s="15">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row>
    <row r="137" ht="15" customHeight="1" s="15">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row>
    <row r="138" ht="15" customHeight="1" s="15">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row>
    <row r="139" ht="15" customHeight="1" s="15">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row>
    <row r="140" ht="15" customHeight="1" s="15">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row>
    <row r="141" ht="15" customHeight="1" s="15">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row>
    <row r="142" ht="15" customHeight="1" s="15">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row>
    <row r="143" ht="15" customHeight="1" s="15">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row>
    <row r="144" ht="15" customHeight="1" s="15">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row>
    <row r="145" ht="15" customHeight="1" s="15">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row>
    <row r="146" ht="15" customHeight="1" s="15">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row>
    <row r="147" ht="15" customHeight="1" s="15">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row>
    <row r="148" ht="15" customHeight="1" s="15">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row>
    <row r="149" ht="15" customHeight="1" s="15">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row>
    <row r="150" ht="15" customHeight="1" s="15">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row>
    <row r="151" ht="15" customHeight="1" s="15">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row>
    <row r="152" ht="15" customHeight="1" s="15">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row>
    <row r="153" ht="15" customHeight="1" s="15">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row>
    <row r="154" ht="15" customHeight="1" s="15">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row>
    <row r="155" ht="15" customHeight="1" s="15">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row>
    <row r="156" ht="15" customHeight="1" s="15">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row>
    <row r="157" ht="15" customHeight="1" s="15">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row>
    <row r="158" ht="15" customHeight="1" s="15">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row>
    <row r="159" ht="15" customHeight="1" s="15">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row>
    <row r="160" ht="15" customHeight="1" s="15">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row>
    <row r="161" ht="15" customHeight="1" s="15">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row>
    <row r="162" ht="15" customHeight="1" s="15">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row>
    <row r="163" ht="15" customHeight="1" s="15">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row>
    <row r="164" ht="15" customHeight="1" s="15">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row>
    <row r="165" ht="15" customHeight="1" s="15">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row>
    <row r="166" ht="15" customHeight="1" s="15">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row>
    <row r="167" ht="15" customHeight="1" s="15">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row>
    <row r="168" ht="15" customHeight="1" s="15">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row>
    <row r="169" ht="15" customHeight="1" s="15">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row>
    <row r="170" ht="15" customHeight="1" s="15">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row>
    <row r="171" ht="15" customHeight="1" s="15">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row>
    <row r="172" ht="15" customHeight="1" s="15">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row>
    <row r="173" ht="15" customHeight="1" s="15">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row>
    <row r="174" ht="15" customHeight="1" s="15">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row>
    <row r="175" ht="15" customHeight="1" s="15">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row>
    <row r="176" ht="15" customHeight="1" s="15">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row>
    <row r="177" ht="15" customHeight="1" s="15">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row>
    <row r="178" ht="15" customHeight="1" s="15">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row>
    <row r="179" ht="15" customHeight="1" s="15">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row>
    <row r="180" ht="15" customHeight="1" s="15">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row>
    <row r="181" ht="15" customHeight="1" s="15">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row>
    <row r="182" ht="15" customHeight="1" s="15">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row>
    <row r="183" ht="15" customHeight="1" s="15">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row>
    <row r="184" ht="15" customHeight="1" s="15">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row>
    <row r="185" ht="15" customHeight="1" s="15">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row>
    <row r="186" ht="15" customHeight="1" s="15">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row>
    <row r="187" ht="15" customHeight="1" s="15">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row>
    <row r="188" ht="15" customHeight="1" s="15">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row>
    <row r="189" ht="15" customHeight="1" s="15">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row>
    <row r="190" ht="15" customHeight="1" s="15">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row>
    <row r="191" ht="15" customHeight="1" s="15">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row>
    <row r="192" ht="15" customHeight="1" s="15">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row>
    <row r="193" ht="15" customHeight="1" s="15">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row>
    <row r="194" ht="15" customHeight="1" s="15">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row>
    <row r="195" ht="15" customHeight="1" s="15">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row>
    <row r="196" ht="15" customHeight="1" s="15">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row>
    <row r="197" ht="15" customHeight="1" s="15">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row>
    <row r="198" ht="15" customHeight="1" s="15">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row>
    <row r="199" ht="15" customHeight="1" s="15">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row>
    <row r="200" ht="15" customHeight="1" s="15">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row>
  </sheetData>
  <mergeCells count="2">
    <mergeCell ref="A2:F2"/>
    <mergeCell ref="A1:F1"/>
  </mergeCells>
  <conditionalFormatting sqref="C6:C41">
    <cfRule type="containsText" rank="0" priority="2" equalAverage="0" operator="containsText" aboveAverage="0" dxfId="13" text="Approved" percent="0" bottom="0">
      <formula>NOT(ISERROR(SEARCH("Approved",C6)))</formula>
    </cfRule>
    <cfRule type="containsText" rank="0" priority="3" equalAverage="0" operator="containsText" aboveAverage="0" dxfId="13" text="Passed" percent="0" bottom="0">
      <formula>NOT(ISERROR(SEARCH("Passed",C6)))</formula>
    </cfRule>
    <cfRule type="containsText" rank="0" priority="4" equalAverage="0" operator="containsText" aboveAverage="0" dxfId="13" text="Released" percent="0" bottom="0">
      <formula>NOT(ISERROR(SEARCH("Released",C6)))</formula>
    </cfRule>
    <cfRule type="containsText" rank="0" priority="5" equalAverage="0" operator="containsText" aboveAverage="0" dxfId="1" text="Project Owner review" percent="0" bottom="0">
      <formula>NOT(ISERROR(SEARCH("Project Owner review",C6)))</formula>
    </cfRule>
    <cfRule type="containsText" rank="0" priority="6" equalAverage="0" operator="containsText" aboveAverage="0" dxfId="14" text="Pending" percent="0" bottom="0">
      <formula>NOT(ISERROR(SEARCH("Pending",C6)))</formula>
    </cfRule>
    <cfRule type="containsText" rank="0" priority="7" equalAverage="0" operator="containsText" aboveAverage="0" dxfId="0" text="Blocked" percent="0" bottom="0">
      <formula>NOT(ISERROR(SEARCH("Blocked",C6)))</formula>
    </cfRule>
    <cfRule type="containsText" rank="0" priority="8" equalAverage="0" operator="containsText" aboveAverage="0" dxfId="0" text="unresolved" percent="0" bottom="0">
      <formula>NOT(ISERROR(SEARCH("unresolved",C6)))</formula>
    </cfRule>
    <cfRule type="containsText" rank="0" priority="9" equalAverage="0" operator="containsText" aboveAverage="0" dxfId="15" text="Not started" percent="0" bottom="0">
      <formula>NOT(ISERROR(SEARCH("Not started",C6)))</formula>
    </cfRule>
    <cfRule type="containsText" rank="0" priority="10" equalAverage="0" operator="containsText" aboveAverage="0" dxfId="15" text="Not evidenced" percent="0" bottom="0">
      <formula>NOT(ISERROR(SEARCH("Not evidenced",C6)))</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tabColor rgb="FF4472C4"/>
    <outlinePr summaryBelow="1" summaryRight="1"/>
    <pageSetUpPr fitToPage="0"/>
  </sheetPr>
  <dimension ref="A1:Z20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13" customWidth="1" style="14" min="1" max="1"/>
    <col width="22" customWidth="1" style="14" min="2" max="2"/>
    <col width="42" customWidth="1" style="14" min="3" max="3"/>
    <col width="46" customWidth="1" style="14" min="4" max="4"/>
    <col width="44" customWidth="1" style="14" min="5" max="5"/>
    <col width="38" customWidth="1" style="14" min="6" max="6"/>
    <col width="22" customWidth="1" style="14" min="7" max="7"/>
    <col width="13" customWidth="1" style="14" min="8" max="8"/>
    <col width="18" customWidth="1" style="14" min="9" max="9"/>
    <col width="16" customWidth="1" style="14" min="10" max="10"/>
    <col width="38" customWidth="1" style="14" min="11" max="11"/>
  </cols>
  <sheetData>
    <row r="1" ht="37.5" customHeight="1" s="15">
      <c r="A1" s="16" t="inlineStr">
        <is>
          <t>Implementation and design delivery</t>
        </is>
      </c>
      <c r="L1" s="17" t="n"/>
      <c r="M1" s="17" t="n"/>
      <c r="N1" s="17" t="n"/>
      <c r="O1" s="17" t="n"/>
      <c r="P1" s="17" t="n"/>
      <c r="Q1" s="17" t="n"/>
      <c r="R1" s="17" t="n"/>
      <c r="S1" s="17" t="n"/>
      <c r="T1" s="17" t="n"/>
      <c r="U1" s="17" t="n"/>
      <c r="V1" s="17" t="n"/>
      <c r="W1" s="17" t="n"/>
      <c r="X1" s="17" t="n"/>
      <c r="Y1" s="17" t="n"/>
      <c r="Z1" s="17" t="n"/>
    </row>
    <row r="2" ht="33.75" customHeight="1" s="15">
      <c r="A2" s="18" t="inlineStr">
        <is>
          <t>Use this as the shared correction and implementation queue for requirements, design and code. Update implementation and verification only from evidence; do not infer them from document approval.</t>
        </is>
      </c>
      <c r="L2" s="17" t="n"/>
      <c r="M2" s="17" t="n"/>
      <c r="N2" s="17" t="n"/>
      <c r="O2" s="17" t="n"/>
      <c r="P2" s="17" t="n"/>
      <c r="Q2" s="17" t="n"/>
      <c r="R2" s="17" t="n"/>
      <c r="S2" s="17" t="n"/>
      <c r="T2" s="17" t="n"/>
      <c r="U2" s="17" t="n"/>
      <c r="V2" s="17" t="n"/>
      <c r="W2" s="17" t="n"/>
      <c r="X2" s="17" t="n"/>
      <c r="Y2" s="17" t="n"/>
      <c r="Z2" s="17" t="n"/>
    </row>
    <row r="3" ht="15" customHeight="1" s="15">
      <c r="A3" s="17" t="n"/>
      <c r="B3" s="17" t="n"/>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ht="15" customHeight="1" s="15">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row>
    <row r="5" ht="36" customHeight="1" s="15">
      <c r="A5" s="32" t="inlineStr">
        <is>
          <t>Item ID</t>
        </is>
      </c>
      <c r="B5" s="32" t="inlineStr">
        <is>
          <t>Area</t>
        </is>
      </c>
      <c r="C5" s="32" t="inlineStr">
        <is>
          <t>Required change</t>
        </is>
      </c>
      <c r="D5" s="32" t="inlineStr">
        <is>
          <t>Functional outcome</t>
        </is>
      </c>
      <c r="E5" s="32" t="inlineStr">
        <is>
          <t>Design outcome</t>
        </is>
      </c>
      <c r="F5" s="32" t="inlineStr">
        <is>
          <t>Owning document</t>
        </is>
      </c>
      <c r="G5" s="32" t="inlineStr">
        <is>
          <t>Requirement status</t>
        </is>
      </c>
      <c r="H5" s="32" t="inlineStr">
        <is>
          <t>Release gate</t>
        </is>
      </c>
      <c r="I5" s="32" t="inlineStr">
        <is>
          <t>Implementation</t>
        </is>
      </c>
      <c r="J5" s="32" t="inlineStr">
        <is>
          <t>Verification</t>
        </is>
      </c>
      <c r="K5" s="32" t="inlineStr">
        <is>
          <t>Evidence / notes</t>
        </is>
      </c>
      <c r="L5" s="17" t="n"/>
      <c r="M5" s="17" t="n"/>
      <c r="N5" s="17" t="n"/>
      <c r="O5" s="17" t="n"/>
      <c r="P5" s="17" t="n"/>
      <c r="Q5" s="17" t="n"/>
      <c r="R5" s="17" t="n"/>
      <c r="S5" s="17" t="n"/>
      <c r="T5" s="17" t="n"/>
      <c r="U5" s="17" t="n"/>
      <c r="V5" s="17" t="n"/>
      <c r="W5" s="17" t="n"/>
      <c r="X5" s="17" t="n"/>
      <c r="Y5" s="17" t="n"/>
      <c r="Z5" s="17" t="n"/>
    </row>
    <row r="6" ht="43.5" customHeight="1" s="15">
      <c r="A6" s="17" t="inlineStr">
        <is>
          <t>G1-001</t>
        </is>
      </c>
      <c r="B6" s="27" t="inlineStr">
        <is>
          <t>System Setup</t>
        </is>
      </c>
      <c r="C6" s="27" t="inlineStr">
        <is>
          <t>Add supplier-portal operating settings and clear action effects.</t>
        </is>
      </c>
      <c r="D6" s="27" t="inlineStr">
        <is>
          <t>Configure availability, support contact and public-facing controls.</t>
        </is>
      </c>
      <c r="E6" s="27" t="inlineStr">
        <is>
          <t>Task-oriented settings with effective-state explanation.</t>
        </is>
      </c>
      <c r="F6" s="27" t="inlineStr">
        <is>
          <t>CFG-CHG-002 v0.16</t>
        </is>
      </c>
      <c r="G6" s="27" t="inlineStr">
        <is>
          <t>Approved requirement</t>
        </is>
      </c>
      <c r="H6" s="27" t="inlineStr">
        <is>
          <t>Yes</t>
        </is>
      </c>
      <c r="I6" s="27" t="inlineStr">
        <is>
          <t>Not started</t>
        </is>
      </c>
      <c r="J6" s="27" t="inlineStr">
        <is>
          <t>Not started</t>
        </is>
      </c>
      <c r="K6" s="27" t="n"/>
      <c r="L6" s="17" t="n"/>
      <c r="M6" s="17" t="n"/>
      <c r="N6" s="17" t="n"/>
      <c r="O6" s="17" t="n"/>
      <c r="P6" s="17" t="n"/>
      <c r="Q6" s="17" t="n"/>
      <c r="R6" s="17" t="n"/>
      <c r="S6" s="17" t="n"/>
      <c r="T6" s="17" t="n"/>
      <c r="U6" s="17" t="n"/>
      <c r="V6" s="17" t="n"/>
      <c r="W6" s="17" t="n"/>
      <c r="X6" s="17" t="n"/>
      <c r="Y6" s="17" t="n"/>
      <c r="Z6" s="17" t="n"/>
    </row>
    <row r="7" ht="43.5" customHeight="1" s="15">
      <c r="A7" s="17" t="inlineStr">
        <is>
          <t>G1-002</t>
        </is>
      </c>
      <c r="B7" s="27" t="inlineStr">
        <is>
          <t>STD Templates</t>
        </is>
      </c>
      <c r="C7" s="27" t="inlineStr">
        <is>
          <t>Create dedicated STD Templates administration surface.</t>
        </is>
      </c>
      <c r="D7" s="27" t="inlineStr">
        <is>
          <t>Inspect installed formats, release identity, support and verification.</t>
        </is>
      </c>
      <c r="E7" s="27" t="inlineStr">
        <is>
          <t>List and detail views; no generic schema editor.</t>
        </is>
      </c>
      <c r="F7" s="27" t="inlineStr">
        <is>
          <t>CFG-CHG-002 v0.16 / STD-TPL-001 v0.13</t>
        </is>
      </c>
      <c r="G7" s="27" t="inlineStr">
        <is>
          <t>Mixed approved/proposed</t>
        </is>
      </c>
      <c r="H7" s="27" t="inlineStr">
        <is>
          <t>Yes</t>
        </is>
      </c>
      <c r="I7" s="27" t="inlineStr">
        <is>
          <t>Not started</t>
        </is>
      </c>
      <c r="J7" s="27" t="inlineStr">
        <is>
          <t>Not started</t>
        </is>
      </c>
      <c r="K7" s="27" t="n"/>
      <c r="L7" s="17" t="n"/>
      <c r="M7" s="17" t="n"/>
      <c r="N7" s="17" t="n"/>
      <c r="O7" s="17" t="n"/>
      <c r="P7" s="17" t="n"/>
      <c r="Q7" s="17" t="n"/>
      <c r="R7" s="17" t="n"/>
      <c r="S7" s="17" t="n"/>
      <c r="T7" s="17" t="n"/>
      <c r="U7" s="17" t="n"/>
      <c r="V7" s="17" t="n"/>
      <c r="W7" s="17" t="n"/>
      <c r="X7" s="17" t="n"/>
      <c r="Y7" s="17" t="n"/>
      <c r="Z7" s="17" t="n"/>
    </row>
    <row r="8" ht="43.5" customHeight="1" s="15">
      <c r="A8" s="17" t="inlineStr">
        <is>
          <t>G1-003</t>
        </is>
      </c>
      <c r="B8" s="27" t="inlineStr">
        <is>
          <t>STD Templates</t>
        </is>
      </c>
      <c r="C8" s="27" t="inlineStr">
        <is>
          <t>Rebuild IT Equipment release with structured supplier-response schema.</t>
        </is>
      </c>
      <c r="D8" s="27" t="inlineStr">
        <is>
          <t>Add stable row IDs, response types, evidence and declaration rules.</t>
        </is>
      </c>
      <c r="E8" s="27" t="inlineStr">
        <is>
          <t>Generated task sections for the supplier workspace.</t>
        </is>
      </c>
      <c r="F8" s="27" t="inlineStr">
        <is>
          <t>STD-TPL-001 v0.13</t>
        </is>
      </c>
      <c r="G8" s="27" t="inlineStr">
        <is>
          <t>Approved requirement</t>
        </is>
      </c>
      <c r="H8" s="27" t="inlineStr">
        <is>
          <t>Yes</t>
        </is>
      </c>
      <c r="I8" s="27" t="inlineStr">
        <is>
          <t>Not started</t>
        </is>
      </c>
      <c r="J8" s="27" t="inlineStr">
        <is>
          <t>Not started</t>
        </is>
      </c>
      <c r="K8" s="27" t="n"/>
      <c r="L8" s="17" t="n"/>
      <c r="M8" s="17" t="n"/>
      <c r="N8" s="17" t="n"/>
      <c r="O8" s="17" t="n"/>
      <c r="P8" s="17" t="n"/>
      <c r="Q8" s="17" t="n"/>
      <c r="R8" s="17" t="n"/>
      <c r="S8" s="17" t="n"/>
      <c r="T8" s="17" t="n"/>
      <c r="U8" s="17" t="n"/>
      <c r="V8" s="17" t="n"/>
      <c r="W8" s="17" t="n"/>
      <c r="X8" s="17" t="n"/>
      <c r="Y8" s="17" t="n"/>
      <c r="Z8" s="17" t="n"/>
    </row>
    <row r="9" ht="43.5" customHeight="1" s="15">
      <c r="A9" s="17" t="inlineStr">
        <is>
          <t>G1-004</t>
        </is>
      </c>
      <c r="B9" s="27" t="inlineStr">
        <is>
          <t>STD Templates</t>
        </is>
      </c>
      <c r="C9" s="27" t="inlineStr">
        <is>
          <t>Add evaluation and contract-destination mappings.</t>
        </is>
      </c>
      <c r="D9" s="27" t="inlineStr">
        <is>
          <t>Every carried response has explicit downstream treatment; group-level evaluation allowed where defined.</t>
        </is>
      </c>
      <c r="E9" s="27" t="inlineStr">
        <is>
          <t>Admin sees labelled mapping summaries, not raw JSON.</t>
        </is>
      </c>
      <c r="F9" s="27" t="inlineStr">
        <is>
          <t>STD-TPL-001 v0.13</t>
        </is>
      </c>
      <c r="G9" s="27" t="inlineStr">
        <is>
          <t>Approved requirement</t>
        </is>
      </c>
      <c r="H9" s="27" t="inlineStr">
        <is>
          <t>Yes</t>
        </is>
      </c>
      <c r="I9" s="27" t="inlineStr">
        <is>
          <t>Not started</t>
        </is>
      </c>
      <c r="J9" s="27" t="inlineStr">
        <is>
          <t>Not started</t>
        </is>
      </c>
      <c r="K9" s="27" t="n"/>
      <c r="L9" s="17" t="n"/>
      <c r="M9" s="17" t="n"/>
      <c r="N9" s="17" t="n"/>
      <c r="O9" s="17" t="n"/>
      <c r="P9" s="17" t="n"/>
      <c r="Q9" s="17" t="n"/>
      <c r="R9" s="17" t="n"/>
      <c r="S9" s="17" t="n"/>
      <c r="T9" s="17" t="n"/>
      <c r="U9" s="17" t="n"/>
      <c r="V9" s="17" t="n"/>
      <c r="W9" s="17" t="n"/>
      <c r="X9" s="17" t="n"/>
      <c r="Y9" s="17" t="n"/>
      <c r="Z9" s="17" t="n"/>
    </row>
    <row r="10" ht="43.5" customHeight="1" s="15">
      <c r="A10" s="17" t="inlineStr">
        <is>
          <t>G1-005</t>
        </is>
      </c>
      <c r="B10" s="27" t="inlineStr">
        <is>
          <t>STD Templates</t>
        </is>
      </c>
      <c r="C10" s="27" t="inlineStr">
        <is>
          <t>Verify the installed release and provide a deployment-only site On/Off switch.</t>
        </is>
      </c>
      <c r="D10" s="27" t="inlineStr">
        <is>
          <t>Check manifest and assets during installation; install On by default or Off by deployment request.</t>
        </is>
      </c>
      <c r="E10" s="27" t="inlineStr">
        <is>
          <t>Show the read-only switch state and specific integrity/compatibility errors.</t>
        </is>
      </c>
      <c r="F10" s="27" t="inlineStr">
        <is>
          <t>STD-TPL-001 v0.13</t>
        </is>
      </c>
      <c r="G10" s="27" t="inlineStr">
        <is>
          <t>Approved requirement</t>
        </is>
      </c>
      <c r="H10" s="27" t="inlineStr">
        <is>
          <t>Yes</t>
        </is>
      </c>
      <c r="I10" s="27" t="inlineStr">
        <is>
          <t>Not started</t>
        </is>
      </c>
      <c r="J10" s="27" t="inlineStr">
        <is>
          <t>Pending</t>
        </is>
      </c>
      <c r="K10" s="27" t="n"/>
      <c r="L10" s="17" t="n"/>
      <c r="M10" s="17" t="n"/>
      <c r="N10" s="17" t="n"/>
      <c r="O10" s="17" t="n"/>
      <c r="P10" s="17" t="n"/>
      <c r="Q10" s="17" t="n"/>
      <c r="R10" s="17" t="n"/>
      <c r="S10" s="17" t="n"/>
      <c r="T10" s="17" t="n"/>
      <c r="U10" s="17" t="n"/>
      <c r="V10" s="17" t="n"/>
      <c r="W10" s="17" t="n"/>
      <c r="X10" s="17" t="n"/>
      <c r="Y10" s="17" t="n"/>
      <c r="Z10" s="17" t="n"/>
    </row>
    <row r="11" ht="43.5" customHeight="1" s="15">
      <c r="A11" s="17" t="inlineStr">
        <is>
          <t>G1-006</t>
        </is>
      </c>
      <c r="B11" s="27" t="inlineStr">
        <is>
          <t>Tenders</t>
        </is>
      </c>
      <c r="C11" s="27" t="inlineStr">
        <is>
          <t>Consume only an authorised requisition handoff.</t>
        </is>
      </c>
      <c r="D11" s="27" t="inlineStr">
        <is>
          <t>Reject absent, stale or unauthorised source data.</t>
        </is>
      </c>
      <c r="E11" s="27" t="inlineStr">
        <is>
          <t>Name the source problem and owner without technical codes.</t>
        </is>
      </c>
      <c r="F11" s="27" t="inlineStr">
        <is>
          <t>REQ-CHG-001 v1.12 / TPR-CHG-001 v0.13</t>
        </is>
      </c>
      <c r="G11" s="27" t="inlineStr">
        <is>
          <t>Approved requirement</t>
        </is>
      </c>
      <c r="H11" s="27" t="inlineStr">
        <is>
          <t>Yes</t>
        </is>
      </c>
      <c r="I11" s="27" t="inlineStr">
        <is>
          <t>Not started</t>
        </is>
      </c>
      <c r="J11" s="27" t="inlineStr">
        <is>
          <t>Not started</t>
        </is>
      </c>
      <c r="K11" s="27" t="n"/>
      <c r="L11" s="17" t="n"/>
      <c r="M11" s="17" t="n"/>
      <c r="N11" s="17" t="n"/>
      <c r="O11" s="17" t="n"/>
      <c r="P11" s="17" t="n"/>
      <c r="Q11" s="17" t="n"/>
      <c r="R11" s="17" t="n"/>
      <c r="S11" s="17" t="n"/>
      <c r="T11" s="17" t="n"/>
      <c r="U11" s="17" t="n"/>
      <c r="V11" s="17" t="n"/>
      <c r="W11" s="17" t="n"/>
      <c r="X11" s="17" t="n"/>
      <c r="Y11" s="17" t="n"/>
      <c r="Z11" s="17" t="n"/>
    </row>
    <row r="12" ht="43.5" customHeight="1" s="15">
      <c r="A12" s="17" t="inlineStr">
        <is>
          <t>G1-007</t>
        </is>
      </c>
      <c r="B12" s="27" t="inlineStr">
        <is>
          <t>Tenders</t>
        </is>
      </c>
      <c r="C12" s="27" t="inlineStr">
        <is>
          <t>Prepare Tender from an exact installed template that is On for new binding.</t>
        </is>
      </c>
      <c r="D12" s="27" t="inlineStr">
        <is>
          <t>Bind template, renderer and response schema identities only when exactly one release is On and checks pass.</t>
        </is>
      </c>
      <c r="E12" s="27" t="inlineStr">
        <is>
          <t>Progressive preparation journey with concise supporting detail.</t>
        </is>
      </c>
      <c r="F12" s="27" t="inlineStr">
        <is>
          <t>TPR-CHG-001 v0.13 / STD-TPL-001 v0.13</t>
        </is>
      </c>
      <c r="G12" s="27" t="inlineStr">
        <is>
          <t>Approved requirement</t>
        </is>
      </c>
      <c r="H12" s="27" t="inlineStr">
        <is>
          <t>Yes</t>
        </is>
      </c>
      <c r="I12" s="27" t="inlineStr">
        <is>
          <t>Not started</t>
        </is>
      </c>
      <c r="J12" s="27" t="inlineStr">
        <is>
          <t>Not started</t>
        </is>
      </c>
      <c r="K12" s="27" t="n"/>
      <c r="L12" s="17" t="n"/>
      <c r="M12" s="17" t="n"/>
      <c r="N12" s="17" t="n"/>
      <c r="O12" s="17" t="n"/>
      <c r="P12" s="17" t="n"/>
      <c r="Q12" s="17" t="n"/>
      <c r="R12" s="17" t="n"/>
      <c r="S12" s="17" t="n"/>
      <c r="T12" s="17" t="n"/>
      <c r="U12" s="17" t="n"/>
      <c r="V12" s="17" t="n"/>
      <c r="W12" s="17" t="n"/>
      <c r="X12" s="17" t="n"/>
      <c r="Y12" s="17" t="n"/>
      <c r="Z12" s="17" t="n"/>
    </row>
    <row r="13" ht="43.5" customHeight="1" s="15">
      <c r="A13" s="17" t="inlineStr">
        <is>
          <t>G1-008</t>
        </is>
      </c>
      <c r="B13" s="27" t="inlineStr">
        <is>
          <t>Tenders</t>
        </is>
      </c>
      <c r="C13" s="27" t="inlineStr">
        <is>
          <t>Support publication confirmation without presuming integrations.</t>
        </is>
      </c>
      <c r="D13" s="27" t="inlineStr">
        <is>
          <t>HOPF may record evidence for configured channels.</t>
        </is>
      </c>
      <c r="E13" s="27" t="inlineStr">
        <is>
          <t>Clear confirmed/evidence-required states and direct actions.</t>
        </is>
      </c>
      <c r="F13" s="27" t="inlineStr">
        <is>
          <t>TPR-CHG-001 v0.13</t>
        </is>
      </c>
      <c r="G13" s="27" t="inlineStr">
        <is>
          <t>Approved requirement</t>
        </is>
      </c>
      <c r="H13" s="27" t="inlineStr">
        <is>
          <t>Yes</t>
        </is>
      </c>
      <c r="I13" s="27" t="inlineStr">
        <is>
          <t>Not started</t>
        </is>
      </c>
      <c r="J13" s="27" t="inlineStr">
        <is>
          <t>Not started</t>
        </is>
      </c>
      <c r="K13" s="27" t="n"/>
      <c r="L13" s="17" t="n"/>
      <c r="M13" s="17" t="n"/>
      <c r="N13" s="17" t="n"/>
      <c r="O13" s="17" t="n"/>
      <c r="P13" s="17" t="n"/>
      <c r="Q13" s="17" t="n"/>
      <c r="R13" s="17" t="n"/>
      <c r="S13" s="17" t="n"/>
      <c r="T13" s="17" t="n"/>
      <c r="U13" s="17" t="n"/>
      <c r="V13" s="17" t="n"/>
      <c r="W13" s="17" t="n"/>
      <c r="X13" s="17" t="n"/>
      <c r="Y13" s="17" t="n"/>
      <c r="Z13" s="17" t="n"/>
    </row>
    <row r="14" ht="43.5" customHeight="1" s="15">
      <c r="A14" s="17" t="inlineStr">
        <is>
          <t>G1-009</t>
        </is>
      </c>
      <c r="B14" s="27" t="inlineStr">
        <is>
          <t>Tenders</t>
        </is>
      </c>
      <c r="C14" s="27" t="inlineStr">
        <is>
          <t>Implement candidate clarifications and published answers.</t>
        </is>
      </c>
      <c r="D14" s="27" t="inlineStr">
        <is>
          <t>Protect candidate identity and publish general answers lawfully.</t>
        </is>
      </c>
      <c r="E14" s="27" t="inlineStr">
        <is>
          <t>One understandable clarification feed.</t>
        </is>
      </c>
      <c r="F14" s="27" t="inlineStr">
        <is>
          <t>TPR-CHG-001 v0.13 / BDS-CHG-001 v0.8</t>
        </is>
      </c>
      <c r="G14" s="27" t="inlineStr">
        <is>
          <t>Approved requirement</t>
        </is>
      </c>
      <c r="H14" s="27" t="inlineStr">
        <is>
          <t>No</t>
        </is>
      </c>
      <c r="I14" s="27" t="inlineStr">
        <is>
          <t>Not started</t>
        </is>
      </c>
      <c r="J14" s="27" t="inlineStr">
        <is>
          <t>Not started</t>
        </is>
      </c>
      <c r="K14" s="27" t="n"/>
      <c r="L14" s="17" t="n"/>
      <c r="M14" s="17" t="n"/>
      <c r="N14" s="17" t="n"/>
      <c r="O14" s="17" t="n"/>
      <c r="P14" s="17" t="n"/>
      <c r="Q14" s="17" t="n"/>
      <c r="R14" s="17" t="n"/>
      <c r="S14" s="17" t="n"/>
      <c r="T14" s="17" t="n"/>
      <c r="U14" s="17" t="n"/>
      <c r="V14" s="17" t="n"/>
      <c r="W14" s="17" t="n"/>
      <c r="X14" s="17" t="n"/>
      <c r="Y14" s="17" t="n"/>
      <c r="Z14" s="17" t="n"/>
    </row>
    <row r="15" ht="43.5" customHeight="1" s="15">
      <c r="A15" s="17" t="inlineStr">
        <is>
          <t>G1-010</t>
        </is>
      </c>
      <c r="B15" s="27" t="inlineStr">
        <is>
          <t>Tenders</t>
        </is>
      </c>
      <c r="C15" s="27" t="inlineStr">
        <is>
          <t>Implement addenda as the only requirement-change mechanism.</t>
        </is>
      </c>
      <c r="D15" s="27" t="inlineStr">
        <is>
          <t>Issue immutable addendum and update affected bid definition.</t>
        </is>
      </c>
      <c r="E15" s="27" t="inlineStr">
        <is>
          <t>Prominent change notice and acknowledgement state.</t>
        </is>
      </c>
      <c r="F15" s="27" t="inlineStr">
        <is>
          <t>TPR-CHG-001 v0.13 / BDS-CHG-001 v0.8</t>
        </is>
      </c>
      <c r="G15" s="27" t="inlineStr">
        <is>
          <t>Approved requirement</t>
        </is>
      </c>
      <c r="H15" s="27" t="inlineStr">
        <is>
          <t>Yes</t>
        </is>
      </c>
      <c r="I15" s="27" t="inlineStr">
        <is>
          <t>Not started</t>
        </is>
      </c>
      <c r="J15" s="27" t="inlineStr">
        <is>
          <t>Not started</t>
        </is>
      </c>
      <c r="K15" s="27" t="n"/>
      <c r="L15" s="17" t="n"/>
      <c r="M15" s="17" t="n"/>
      <c r="N15" s="17" t="n"/>
      <c r="O15" s="17" t="n"/>
      <c r="P15" s="17" t="n"/>
      <c r="Q15" s="17" t="n"/>
      <c r="R15" s="17" t="n"/>
      <c r="S15" s="17" t="n"/>
      <c r="T15" s="17" t="n"/>
      <c r="U15" s="17" t="n"/>
      <c r="V15" s="17" t="n"/>
      <c r="W15" s="17" t="n"/>
      <c r="X15" s="17" t="n"/>
      <c r="Y15" s="17" t="n"/>
      <c r="Z15" s="17" t="n"/>
    </row>
    <row r="16" ht="43.5" customHeight="1" s="15">
      <c r="A16" s="17" t="inlineStr">
        <is>
          <t>G1-011</t>
        </is>
      </c>
      <c r="B16" s="27" t="inlineStr">
        <is>
          <t>Public Portal</t>
        </is>
      </c>
      <c r="C16" s="27" t="inlineStr">
        <is>
          <t>Publish tender list and tender detail pages.</t>
        </is>
      </c>
      <c r="D16" s="27" t="inlineStr">
        <is>
          <t>Public read access to issued tenders and current documents.</t>
        </is>
      </c>
      <c r="E16" s="27" t="inlineStr">
        <is>
          <t>Simple search/list/detail; reusable framework pages where suitable.</t>
        </is>
      </c>
      <c r="F16" s="27" t="inlineStr">
        <is>
          <t>TPR-CHG-001 v0.13 / BDS-CHG-001 v0.8</t>
        </is>
      </c>
      <c r="G16" s="27" t="inlineStr">
        <is>
          <t>Approved requirement</t>
        </is>
      </c>
      <c r="H16" s="27" t="inlineStr">
        <is>
          <t>Yes</t>
        </is>
      </c>
      <c r="I16" s="27" t="inlineStr">
        <is>
          <t>Not started</t>
        </is>
      </c>
      <c r="J16" s="27" t="inlineStr">
        <is>
          <t>Not started</t>
        </is>
      </c>
      <c r="K16" s="27" t="n"/>
      <c r="L16" s="17" t="n"/>
      <c r="M16" s="17" t="n"/>
      <c r="N16" s="17" t="n"/>
      <c r="O16" s="17" t="n"/>
      <c r="P16" s="17" t="n"/>
      <c r="Q16" s="17" t="n"/>
      <c r="R16" s="17" t="n"/>
      <c r="S16" s="17" t="n"/>
      <c r="T16" s="17" t="n"/>
      <c r="U16" s="17" t="n"/>
      <c r="V16" s="17" t="n"/>
      <c r="W16" s="17" t="n"/>
      <c r="X16" s="17" t="n"/>
      <c r="Y16" s="17" t="n"/>
      <c r="Z16" s="17" t="n"/>
    </row>
    <row r="17" ht="43.5" customHeight="1" s="15">
      <c r="A17" s="17" t="inlineStr">
        <is>
          <t>G1-012</t>
        </is>
      </c>
      <c r="B17" s="27" t="inlineStr">
        <is>
          <t>Supplier Access</t>
        </is>
      </c>
      <c r="C17" s="27" t="inlineStr">
        <is>
          <t>Use framework registration/login and return-to-tender behaviour.</t>
        </is>
      </c>
      <c r="D17" s="27" t="inlineStr">
        <is>
          <t>Authenticate supplier contact and preserve intended destination.</t>
        </is>
      </c>
      <c r="E17" s="27" t="inlineStr">
        <is>
          <t>Direct access with minimal account friction.</t>
        </is>
      </c>
      <c r="F17" s="27" t="inlineStr">
        <is>
          <t>BDS-CHG-001 v0.8</t>
        </is>
      </c>
      <c r="G17" s="27" t="inlineStr">
        <is>
          <t>Approved requirement</t>
        </is>
      </c>
      <c r="H17" s="27" t="inlineStr">
        <is>
          <t>Yes</t>
        </is>
      </c>
      <c r="I17" s="27" t="inlineStr">
        <is>
          <t>Not started</t>
        </is>
      </c>
      <c r="J17" s="27" t="inlineStr">
        <is>
          <t>Not started</t>
        </is>
      </c>
      <c r="K17" s="27" t="n"/>
      <c r="L17" s="17" t="n"/>
      <c r="M17" s="17" t="n"/>
      <c r="N17" s="17" t="n"/>
      <c r="O17" s="17" t="n"/>
      <c r="P17" s="17" t="n"/>
      <c r="Q17" s="17" t="n"/>
      <c r="R17" s="17" t="n"/>
      <c r="S17" s="17" t="n"/>
      <c r="T17" s="17" t="n"/>
      <c r="U17" s="17" t="n"/>
      <c r="V17" s="17" t="n"/>
      <c r="W17" s="17" t="n"/>
      <c r="X17" s="17" t="n"/>
      <c r="Y17" s="17" t="n"/>
      <c r="Z17" s="17" t="n"/>
    </row>
    <row r="18" ht="43.5" customHeight="1" s="15">
      <c r="A18" s="17" t="inlineStr">
        <is>
          <t>G1-013</t>
        </is>
      </c>
      <c r="B18" s="27" t="inlineStr">
        <is>
          <t>Supplier Access</t>
        </is>
      </c>
      <c r="C18" s="27" t="inlineStr">
        <is>
          <t>Scope users to their own supplier organisation.</t>
        </is>
      </c>
      <c r="D18" s="27" t="inlineStr">
        <is>
          <t>Use the framework permission extension point.</t>
        </is>
      </c>
      <c r="E18" s="27" t="inlineStr">
        <is>
          <t>Never expose cross-supplier records or selectors.</t>
        </is>
      </c>
      <c r="F18" s="27" t="inlineStr">
        <is>
          <t>BDS-CHG-001 v0.8 / AUTH-ADR-001 v1.10</t>
        </is>
      </c>
      <c r="G18" s="27" t="inlineStr">
        <is>
          <t>Mixed approved/proposed</t>
        </is>
      </c>
      <c r="H18" s="27" t="inlineStr">
        <is>
          <t>Yes</t>
        </is>
      </c>
      <c r="I18" s="27" t="inlineStr">
        <is>
          <t>Not started</t>
        </is>
      </c>
      <c r="J18" s="27" t="inlineStr">
        <is>
          <t>Not started</t>
        </is>
      </c>
      <c r="K18" s="27" t="n"/>
      <c r="L18" s="17" t="n"/>
      <c r="M18" s="17" t="n"/>
      <c r="N18" s="17" t="n"/>
      <c r="O18" s="17" t="n"/>
      <c r="P18" s="17" t="n"/>
      <c r="Q18" s="17" t="n"/>
      <c r="R18" s="17" t="n"/>
      <c r="S18" s="17" t="n"/>
      <c r="T18" s="17" t="n"/>
      <c r="U18" s="17" t="n"/>
      <c r="V18" s="17" t="n"/>
      <c r="W18" s="17" t="n"/>
      <c r="X18" s="17" t="n"/>
      <c r="Y18" s="17" t="n"/>
      <c r="Z18" s="17" t="n"/>
    </row>
    <row r="19" ht="43.5" customHeight="1" s="15">
      <c r="A19" s="17" t="inlineStr">
        <is>
          <t>G1-014</t>
        </is>
      </c>
      <c r="B19" s="27" t="inlineStr">
        <is>
          <t>Bid Workspace</t>
        </is>
      </c>
      <c r="C19" s="27" t="inlineStr">
        <is>
          <t>Make Start bid atomic.</t>
        </is>
      </c>
      <c r="D19" s="27" t="inlineStr">
        <is>
          <t>Create candidate registration, contact and bid workspace together.</t>
        </is>
      </c>
      <c r="E19" s="27" t="inlineStr">
        <is>
          <t>Single Start bid action and deterministic recovery.</t>
        </is>
      </c>
      <c r="F19" s="27" t="inlineStr">
        <is>
          <t>BDS-CHG-001 v0.8</t>
        </is>
      </c>
      <c r="G19" s="27" t="inlineStr">
        <is>
          <t>Approved requirement</t>
        </is>
      </c>
      <c r="H19" s="27" t="inlineStr">
        <is>
          <t>Yes</t>
        </is>
      </c>
      <c r="I19" s="27" t="inlineStr">
        <is>
          <t>Not started</t>
        </is>
      </c>
      <c r="J19" s="27" t="inlineStr">
        <is>
          <t>Not started</t>
        </is>
      </c>
      <c r="K19" s="27" t="n"/>
      <c r="L19" s="17" t="n"/>
      <c r="M19" s="17" t="n"/>
      <c r="N19" s="17" t="n"/>
      <c r="O19" s="17" t="n"/>
      <c r="P19" s="17" t="n"/>
      <c r="Q19" s="17" t="n"/>
      <c r="R19" s="17" t="n"/>
      <c r="S19" s="17" t="n"/>
      <c r="T19" s="17" t="n"/>
      <c r="U19" s="17" t="n"/>
      <c r="V19" s="17" t="n"/>
      <c r="W19" s="17" t="n"/>
      <c r="X19" s="17" t="n"/>
      <c r="Y19" s="17" t="n"/>
      <c r="Z19" s="17" t="n"/>
    </row>
    <row r="20" ht="43.5" customHeight="1" s="15">
      <c r="A20" s="17" t="inlineStr">
        <is>
          <t>G1-015</t>
        </is>
      </c>
      <c r="B20" s="27" t="inlineStr">
        <is>
          <t>Bid Workspace</t>
        </is>
      </c>
      <c r="C20" s="27" t="inlineStr">
        <is>
          <t>Generate the workspace from the exact PublishedBidDefinition.</t>
        </is>
      </c>
      <c r="D20" s="27" t="inlineStr">
        <is>
          <t>Render only supported typed controls and immutable row identities.</t>
        </is>
      </c>
      <c r="E20" s="27" t="inlineStr">
        <is>
          <t>Goods, Works and Services differ through metadata, not bespoke page forks.</t>
        </is>
      </c>
      <c r="F20" s="27" t="inlineStr">
        <is>
          <t>BDS-CHG-001 v0.8 / STD-TPL-001 v0.13</t>
        </is>
      </c>
      <c r="G20" s="27" t="inlineStr">
        <is>
          <t>Approved requirement</t>
        </is>
      </c>
      <c r="H20" s="27" t="inlineStr">
        <is>
          <t>Yes</t>
        </is>
      </c>
      <c r="I20" s="27" t="inlineStr">
        <is>
          <t>Not started</t>
        </is>
      </c>
      <c r="J20" s="27" t="inlineStr">
        <is>
          <t>Not started</t>
        </is>
      </c>
      <c r="K20" s="27" t="n"/>
      <c r="L20" s="17" t="n"/>
      <c r="M20" s="17" t="n"/>
      <c r="N20" s="17" t="n"/>
      <c r="O20" s="17" t="n"/>
      <c r="P20" s="17" t="n"/>
      <c r="Q20" s="17" t="n"/>
      <c r="R20" s="17" t="n"/>
      <c r="S20" s="17" t="n"/>
      <c r="T20" s="17" t="n"/>
      <c r="U20" s="17" t="n"/>
      <c r="V20" s="17" t="n"/>
      <c r="W20" s="17" t="n"/>
      <c r="X20" s="17" t="n"/>
      <c r="Y20" s="17" t="n"/>
      <c r="Z20" s="17" t="n"/>
    </row>
    <row r="21" ht="43.5" customHeight="1" s="15">
      <c r="A21" s="17" t="inlineStr">
        <is>
          <t>G1-016</t>
        </is>
      </c>
      <c r="B21" s="27" t="inlineStr">
        <is>
          <t>Bid Workspace</t>
        </is>
      </c>
      <c r="C21" s="27" t="inlineStr">
        <is>
          <t>Support documents, company details, requirements, price and review tasks.</t>
        </is>
      </c>
      <c r="D21" s="27" t="inlineStr">
        <is>
          <t>Persist draft answers and validation state per row.</t>
        </is>
      </c>
      <c r="E21" s="27" t="inlineStr">
        <is>
          <t>Short, structured task sections with progress and actionable errors.</t>
        </is>
      </c>
      <c r="F21" s="27" t="inlineStr">
        <is>
          <t>BDS-CHG-001 v0.8</t>
        </is>
      </c>
      <c r="G21" s="27" t="inlineStr">
        <is>
          <t>Approved requirement</t>
        </is>
      </c>
      <c r="H21" s="27" t="inlineStr">
        <is>
          <t>Yes</t>
        </is>
      </c>
      <c r="I21" s="27" t="inlineStr">
        <is>
          <t>Not started</t>
        </is>
      </c>
      <c r="J21" s="27" t="inlineStr">
        <is>
          <t>Not started</t>
        </is>
      </c>
      <c r="K21" s="27" t="n"/>
      <c r="L21" s="17" t="n"/>
      <c r="M21" s="17" t="n"/>
      <c r="N21" s="17" t="n"/>
      <c r="O21" s="17" t="n"/>
      <c r="P21" s="17" t="n"/>
      <c r="Q21" s="17" t="n"/>
      <c r="R21" s="17" t="n"/>
      <c r="S21" s="17" t="n"/>
      <c r="T21" s="17" t="n"/>
      <c r="U21" s="17" t="n"/>
      <c r="V21" s="17" t="n"/>
      <c r="W21" s="17" t="n"/>
      <c r="X21" s="17" t="n"/>
      <c r="Y21" s="17" t="n"/>
      <c r="Z21" s="17" t="n"/>
    </row>
    <row r="22" ht="43.5" customHeight="1" s="15">
      <c r="A22" s="17" t="inlineStr">
        <is>
          <t>G1-017</t>
        </is>
      </c>
      <c r="B22" s="27" t="inlineStr">
        <is>
          <t>Bid Workspace</t>
        </is>
      </c>
      <c r="C22" s="27" t="inlineStr">
        <is>
          <t>Handle addendum refresh and acknowledgement safely.</t>
        </is>
      </c>
      <c r="D22" s="27" t="inlineStr">
        <is>
          <t>Detect definition change, preserve compatible answers and require acknowledgement.</t>
        </is>
      </c>
      <c r="E22" s="27" t="inlineStr">
        <is>
          <t>Explain exactly what changed and what the supplier must revisit.</t>
        </is>
      </c>
      <c r="F22" s="27" t="inlineStr">
        <is>
          <t>BDS-CHG-001 v0.8</t>
        </is>
      </c>
      <c r="G22" s="27" t="inlineStr">
        <is>
          <t>Approved requirement</t>
        </is>
      </c>
      <c r="H22" s="27" t="inlineStr">
        <is>
          <t>Yes</t>
        </is>
      </c>
      <c r="I22" s="27" t="inlineStr">
        <is>
          <t>Not started</t>
        </is>
      </c>
      <c r="J22" s="27" t="inlineStr">
        <is>
          <t>Not started</t>
        </is>
      </c>
      <c r="K22" s="27" t="n"/>
      <c r="L22" s="17" t="n"/>
      <c r="M22" s="17" t="n"/>
      <c r="N22" s="17" t="n"/>
      <c r="O22" s="17" t="n"/>
      <c r="P22" s="17" t="n"/>
      <c r="Q22" s="17" t="n"/>
      <c r="R22" s="17" t="n"/>
      <c r="S22" s="17" t="n"/>
      <c r="T22" s="17" t="n"/>
      <c r="U22" s="17" t="n"/>
      <c r="V22" s="17" t="n"/>
      <c r="W22" s="17" t="n"/>
      <c r="X22" s="17" t="n"/>
      <c r="Y22" s="17" t="n"/>
      <c r="Z22" s="17" t="n"/>
    </row>
    <row r="23" ht="43.5" customHeight="1" s="15">
      <c r="A23" s="17" t="inlineStr">
        <is>
          <t>G1-018</t>
        </is>
      </c>
      <c r="B23" s="27" t="inlineStr">
        <is>
          <t>Bid Submission</t>
        </is>
      </c>
      <c r="C23" s="27" t="inlineStr">
        <is>
          <t>Validate submission availability centrally.</t>
        </is>
      </c>
      <c r="D23" s="27" t="inlineStr">
        <is>
          <t>One deployment flag plus deadline, release and operating checks.</t>
        </is>
      </c>
      <c r="E23" s="27" t="inlineStr">
        <is>
          <t>Approved temporary-unavailability message; drafts remain safe.</t>
        </is>
      </c>
      <c r="F23" s="27" t="inlineStr">
        <is>
          <t>BDS-CHG-001 v0.8 / CFG-CHG-002 v0.16</t>
        </is>
      </c>
      <c r="G23" s="27" t="inlineStr">
        <is>
          <t>Mixed approved/proposed</t>
        </is>
      </c>
      <c r="H23" s="27" t="inlineStr">
        <is>
          <t>Yes</t>
        </is>
      </c>
      <c r="I23" s="27" t="inlineStr">
        <is>
          <t>Not started</t>
        </is>
      </c>
      <c r="J23" s="27" t="inlineStr">
        <is>
          <t>Not started</t>
        </is>
      </c>
      <c r="K23" s="27" t="n"/>
      <c r="L23" s="17" t="n"/>
      <c r="M23" s="17" t="n"/>
      <c r="N23" s="17" t="n"/>
      <c r="O23" s="17" t="n"/>
      <c r="P23" s="17" t="n"/>
      <c r="Q23" s="17" t="n"/>
      <c r="R23" s="17" t="n"/>
      <c r="S23" s="17" t="n"/>
      <c r="T23" s="17" t="n"/>
      <c r="U23" s="17" t="n"/>
      <c r="V23" s="17" t="n"/>
      <c r="W23" s="17" t="n"/>
      <c r="X23" s="17" t="n"/>
      <c r="Y23" s="17" t="n"/>
      <c r="Z23" s="17" t="n"/>
    </row>
    <row r="24" ht="43.5" customHeight="1" s="15">
      <c r="A24" s="17" t="inlineStr">
        <is>
          <t>G1-019</t>
        </is>
      </c>
      <c r="B24" s="27" t="inlineStr">
        <is>
          <t>Bid Submission</t>
        </is>
      </c>
      <c r="C24" s="27" t="inlineStr">
        <is>
          <t>Capture lawful signer authority and declarations.</t>
        </is>
      </c>
      <c r="D24" s="27" t="inlineStr">
        <is>
          <t>Use typed declarations and identity evidence; do not use a drawn-image signature as a cryptographic signature.</t>
        </is>
      </c>
      <c r="E24" s="27" t="inlineStr">
        <is>
          <t>Plain explanation of authority and consequence.</t>
        </is>
      </c>
      <c r="F24" s="27" t="inlineStr">
        <is>
          <t>BDS-CHG-001 v0.8 / STD-TPL-001 v0.13</t>
        </is>
      </c>
      <c r="G24" s="27" t="inlineStr">
        <is>
          <t>Approved requirement</t>
        </is>
      </c>
      <c r="H24" s="27" t="inlineStr">
        <is>
          <t>Yes</t>
        </is>
      </c>
      <c r="I24" s="27" t="inlineStr">
        <is>
          <t>Not started</t>
        </is>
      </c>
      <c r="J24" s="27" t="inlineStr">
        <is>
          <t>Not started</t>
        </is>
      </c>
      <c r="K24" s="27" t="n"/>
      <c r="L24" s="17" t="n"/>
      <c r="M24" s="17" t="n"/>
      <c r="N24" s="17" t="n"/>
      <c r="O24" s="17" t="n"/>
      <c r="P24" s="17" t="n"/>
      <c r="Q24" s="17" t="n"/>
      <c r="R24" s="17" t="n"/>
      <c r="S24" s="17" t="n"/>
      <c r="T24" s="17" t="n"/>
      <c r="U24" s="17" t="n"/>
      <c r="V24" s="17" t="n"/>
      <c r="W24" s="17" t="n"/>
      <c r="X24" s="17" t="n"/>
      <c r="Y24" s="17" t="n"/>
      <c r="Z24" s="17" t="n"/>
    </row>
    <row r="25" ht="43.5" customHeight="1" s="15">
      <c r="A25" s="17" t="inlineStr">
        <is>
          <t>G1-020</t>
        </is>
      </c>
      <c r="B25" s="27" t="inlineStr">
        <is>
          <t>Bid Submission</t>
        </is>
      </c>
      <c r="C25" s="27" t="inlineStr">
        <is>
          <t>Handle tender security/deposit evidence from template metadata.</t>
        </is>
      </c>
      <c r="D25" s="27" t="inlineStr">
        <is>
          <t>Validate applicable instrument, evidence and expiry rules.</t>
        </is>
      </c>
      <c r="E25" s="27" t="inlineStr">
        <is>
          <t>Show only the instrument actually required.</t>
        </is>
      </c>
      <c r="F25" s="27" t="inlineStr">
        <is>
          <t>BDS-CHG-001 v0.8 / STD-TPL-001 v0.13</t>
        </is>
      </c>
      <c r="G25" s="27" t="inlineStr">
        <is>
          <t>Approved requirement</t>
        </is>
      </c>
      <c r="H25" s="27" t="inlineStr">
        <is>
          <t>Yes</t>
        </is>
      </c>
      <c r="I25" s="27" t="inlineStr">
        <is>
          <t>Not started</t>
        </is>
      </c>
      <c r="J25" s="27" t="inlineStr">
        <is>
          <t>Not started</t>
        </is>
      </c>
      <c r="K25" s="27" t="n"/>
      <c r="L25" s="17" t="n"/>
      <c r="M25" s="17" t="n"/>
      <c r="N25" s="17" t="n"/>
      <c r="O25" s="17" t="n"/>
      <c r="P25" s="17" t="n"/>
      <c r="Q25" s="17" t="n"/>
      <c r="R25" s="17" t="n"/>
      <c r="S25" s="17" t="n"/>
      <c r="T25" s="17" t="n"/>
      <c r="U25" s="17" t="n"/>
      <c r="V25" s="17" t="n"/>
      <c r="W25" s="17" t="n"/>
      <c r="X25" s="17" t="n"/>
      <c r="Y25" s="17" t="n"/>
      <c r="Z25" s="17" t="n"/>
    </row>
    <row r="26" ht="43.5" customHeight="1" s="15">
      <c r="A26" s="17" t="inlineStr">
        <is>
          <t>G1-021</t>
        </is>
      </c>
      <c r="B26" s="27" t="inlineStr">
        <is>
          <t>Bid Submission</t>
        </is>
      </c>
      <c r="C26" s="27" t="inlineStr">
        <is>
          <t>Seal bid and create immutable receipt atomically.</t>
        </is>
      </c>
      <c r="D26" s="27" t="inlineStr">
        <is>
          <t>One transaction creates sealed handoff and receipt identity.</t>
        </is>
      </c>
      <c r="E26" s="27" t="inlineStr">
        <is>
          <t>Clear submitted state and downloadable receipt.</t>
        </is>
      </c>
      <c r="F26" s="27" t="inlineStr">
        <is>
          <t>BDS-CHG-001 v0.8</t>
        </is>
      </c>
      <c r="G26" s="27" t="inlineStr">
        <is>
          <t>Approved requirement</t>
        </is>
      </c>
      <c r="H26" s="27" t="inlineStr">
        <is>
          <t>Yes</t>
        </is>
      </c>
      <c r="I26" s="27" t="inlineStr">
        <is>
          <t>Not started</t>
        </is>
      </c>
      <c r="J26" s="27" t="inlineStr">
        <is>
          <t>Not started</t>
        </is>
      </c>
      <c r="K26" s="27" t="n"/>
      <c r="L26" s="17" t="n"/>
      <c r="M26" s="17" t="n"/>
      <c r="N26" s="17" t="n"/>
      <c r="O26" s="17" t="n"/>
      <c r="P26" s="17" t="n"/>
      <c r="Q26" s="17" t="n"/>
      <c r="R26" s="17" t="n"/>
      <c r="S26" s="17" t="n"/>
      <c r="T26" s="17" t="n"/>
      <c r="U26" s="17" t="n"/>
      <c r="V26" s="17" t="n"/>
      <c r="W26" s="17" t="n"/>
      <c r="X26" s="17" t="n"/>
      <c r="Y26" s="17" t="n"/>
      <c r="Z26" s="17" t="n"/>
    </row>
    <row r="27" ht="43.5" customHeight="1" s="15">
      <c r="A27" s="17" t="inlineStr">
        <is>
          <t>G1-022</t>
        </is>
      </c>
      <c r="B27" s="27" t="inlineStr">
        <is>
          <t>Integrated Verification</t>
        </is>
      </c>
      <c r="C27" s="27" t="inlineStr">
        <is>
          <t>Reconcile SEED-001 to Gate 1 and reservation corrections.</t>
        </is>
      </c>
      <c r="D27" s="27" t="inlineStr">
        <is>
          <t>One consistent actor/date/value/identity pack.</t>
        </is>
      </c>
      <c r="E27" s="27" t="inlineStr">
        <is>
          <t>Artboards and tests use the same isolated fixtures.</t>
        </is>
      </c>
      <c r="F27" s="27" t="inlineStr">
        <is>
          <t>SEED-001 v1.3</t>
        </is>
      </c>
      <c r="G27" s="27" t="inlineStr">
        <is>
          <t>Approved requirement</t>
        </is>
      </c>
      <c r="H27" s="27" t="inlineStr">
        <is>
          <t>Yes</t>
        </is>
      </c>
      <c r="I27" s="27" t="inlineStr">
        <is>
          <t>Not started</t>
        </is>
      </c>
      <c r="J27" s="27" t="inlineStr">
        <is>
          <t>Pending</t>
        </is>
      </c>
      <c r="K27" s="27" t="n"/>
      <c r="L27" s="17" t="n"/>
      <c r="M27" s="17" t="n"/>
      <c r="N27" s="17" t="n"/>
      <c r="O27" s="17" t="n"/>
      <c r="P27" s="17" t="n"/>
      <c r="Q27" s="17" t="n"/>
      <c r="R27" s="17" t="n"/>
      <c r="S27" s="17" t="n"/>
      <c r="T27" s="17" t="n"/>
      <c r="U27" s="17" t="n"/>
      <c r="V27" s="17" t="n"/>
      <c r="W27" s="17" t="n"/>
      <c r="X27" s="17" t="n"/>
      <c r="Y27" s="17" t="n"/>
      <c r="Z27" s="17" t="n"/>
    </row>
    <row r="28" ht="43.5" customHeight="1" s="15">
      <c r="A28" s="17" t="inlineStr">
        <is>
          <t>G1-023</t>
        </is>
      </c>
      <c r="B28" s="27" t="inlineStr">
        <is>
          <t>Integrated Verification</t>
        </is>
      </c>
      <c r="C28" s="27" t="inlineStr">
        <is>
          <t>Run end-to-end public/vendor fixture.</t>
        </is>
      </c>
      <c r="D28" s="27" t="inlineStr">
        <is>
          <t>Prove requisition handoff through sealed submission without crossing into opening.</t>
        </is>
      </c>
      <c r="E28" s="27" t="inlineStr">
        <is>
          <t>Verify role-specific happy paths and failure states.</t>
        </is>
      </c>
      <c r="F28" s="27" t="inlineStr">
        <is>
          <t>G1-REG-001 v1.1 / STD-ST-001 v0.5</t>
        </is>
      </c>
      <c r="G28" s="27" t="inlineStr">
        <is>
          <t>Approved requirement</t>
        </is>
      </c>
      <c r="H28" s="27" t="inlineStr">
        <is>
          <t>Yes</t>
        </is>
      </c>
      <c r="I28" s="27" t="inlineStr">
        <is>
          <t>Not started</t>
        </is>
      </c>
      <c r="J28" s="27" t="inlineStr">
        <is>
          <t>Not started</t>
        </is>
      </c>
      <c r="K28" s="27" t="n"/>
      <c r="L28" s="17" t="n"/>
      <c r="M28" s="17" t="n"/>
      <c r="N28" s="17" t="n"/>
      <c r="O28" s="17" t="n"/>
      <c r="P28" s="17" t="n"/>
      <c r="Q28" s="17" t="n"/>
      <c r="R28" s="17" t="n"/>
      <c r="S28" s="17" t="n"/>
      <c r="T28" s="17" t="n"/>
      <c r="U28" s="17" t="n"/>
      <c r="V28" s="17" t="n"/>
      <c r="W28" s="17" t="n"/>
      <c r="X28" s="17" t="n"/>
      <c r="Y28" s="17" t="n"/>
      <c r="Z28" s="17" t="n"/>
    </row>
    <row r="29" ht="43.5" customHeight="1" s="15">
      <c r="A29" s="17" t="inlineStr">
        <is>
          <t>G1-024</t>
        </is>
      </c>
      <c r="B29" s="27" t="inlineStr">
        <is>
          <t>Release</t>
        </is>
      </c>
      <c r="C29" s="27" t="inlineStr">
        <is>
          <t>Enable production submission only after operating-profile approval.</t>
        </is>
      </c>
      <c r="D29" s="27" t="inlineStr">
        <is>
          <t>Confirm support, incident, recovery, monitoring and authority readiness.</t>
        </is>
      </c>
      <c r="E29" s="27" t="inlineStr">
        <is>
          <t>No hidden or partial enablement.</t>
        </is>
      </c>
      <c r="F29" s="27" t="inlineStr">
        <is>
          <t>G1-REG-001 v1.1 / BDS-CHG-001 v0.8</t>
        </is>
      </c>
      <c r="G29" s="27" t="inlineStr">
        <is>
          <t>Approved requirement</t>
        </is>
      </c>
      <c r="H29" s="27" t="inlineStr">
        <is>
          <t>Yes</t>
        </is>
      </c>
      <c r="I29" s="27" t="inlineStr">
        <is>
          <t>Not started</t>
        </is>
      </c>
      <c r="J29" s="27" t="inlineStr">
        <is>
          <t>Not started</t>
        </is>
      </c>
      <c r="K29" s="27" t="n"/>
      <c r="L29" s="17" t="n"/>
      <c r="M29" s="17" t="n"/>
      <c r="N29" s="17" t="n"/>
      <c r="O29" s="17" t="n"/>
      <c r="P29" s="17" t="n"/>
      <c r="Q29" s="17" t="n"/>
      <c r="R29" s="17" t="n"/>
      <c r="S29" s="17" t="n"/>
      <c r="T29" s="17" t="n"/>
      <c r="U29" s="17" t="n"/>
      <c r="V29" s="17" t="n"/>
      <c r="W29" s="17" t="n"/>
      <c r="X29" s="17" t="n"/>
      <c r="Y29" s="17" t="n"/>
      <c r="Z29" s="17" t="n"/>
    </row>
    <row r="30" ht="43.5" customHeight="1" s="15">
      <c r="A30" s="17" t="inlineStr">
        <is>
          <t>G1-025</t>
        </is>
      </c>
      <c r="B30" s="27" t="inlineStr">
        <is>
          <t>STD Templates</t>
        </is>
      </c>
      <c r="C30" s="27" t="inlineStr">
        <is>
          <t>Implement the exact installed-release runtime authority.</t>
        </is>
      </c>
      <c r="D30" s="27" t="inlineStr">
        <is>
          <t>Immutable registry/assets, verified installation and audited deployment-only On/Off switch.</t>
        </is>
      </c>
      <c r="E30" s="27" t="inlineStr">
        <is>
          <t>Read-only state in STD Templates; no template editing or adoption approval.</t>
        </is>
      </c>
      <c r="F30" s="27" t="inlineStr">
        <is>
          <t>STD-TPL-IMP-001 v1.1</t>
        </is>
      </c>
      <c r="G30" s="27" t="inlineStr">
        <is>
          <t>Approved requirement</t>
        </is>
      </c>
      <c r="H30" s="27" t="inlineStr">
        <is>
          <t>Yes</t>
        </is>
      </c>
      <c r="I30" s="27" t="inlineStr">
        <is>
          <t>Not started</t>
        </is>
      </c>
      <c r="J30" s="27" t="inlineStr">
        <is>
          <t>Not started</t>
        </is>
      </c>
      <c r="K30" s="27" t="n"/>
      <c r="L30" s="17" t="n"/>
      <c r="M30" s="17" t="n"/>
      <c r="N30" s="17" t="n"/>
      <c r="O30" s="17" t="n"/>
      <c r="P30" s="17" t="n"/>
      <c r="Q30" s="17" t="n"/>
      <c r="R30" s="17" t="n"/>
      <c r="S30" s="17" t="n"/>
      <c r="T30" s="17" t="n"/>
      <c r="U30" s="17" t="n"/>
      <c r="V30" s="17" t="n"/>
      <c r="W30" s="17" t="n"/>
      <c r="X30" s="17" t="n"/>
      <c r="Y30" s="17" t="n"/>
      <c r="Z30" s="17" t="n"/>
    </row>
    <row r="31" ht="43.5" customHeight="1" s="15">
      <c r="A31" s="17" t="inlineStr">
        <is>
          <t>G1-026</t>
        </is>
      </c>
      <c r="B31" s="27" t="inlineStr">
        <is>
          <t>STD Templates</t>
        </is>
      </c>
      <c r="C31" s="27" t="inlineStr">
        <is>
          <t>Expose complete coverage, exclusions and generated release comparison.</t>
        </is>
      </c>
      <c r="D31" s="27" t="inlineStr">
        <is>
          <t>Paged inspection from manifest-owned projections.</t>
        </is>
      </c>
      <c r="E31" s="27" t="inlineStr">
        <is>
          <t>Coverage and changes section with plain summaries and drill-down, not raw JSON.</t>
        </is>
      </c>
      <c r="F31" s="27" t="inlineStr">
        <is>
          <t>STD-TPL-001 v0.13 / STD-TPL-IMP-001 v1.1</t>
        </is>
      </c>
      <c r="G31" s="27" t="inlineStr">
        <is>
          <t>Mixed approved/proposed</t>
        </is>
      </c>
      <c r="H31" s="27" t="inlineStr">
        <is>
          <t>Yes</t>
        </is>
      </c>
      <c r="I31" s="27" t="inlineStr">
        <is>
          <t>Not started</t>
        </is>
      </c>
      <c r="J31" s="27" t="inlineStr">
        <is>
          <t>Not started</t>
        </is>
      </c>
      <c r="K31" s="27" t="n"/>
      <c r="L31" s="17" t="n"/>
      <c r="M31" s="17" t="n"/>
      <c r="N31" s="17" t="n"/>
      <c r="O31" s="17" t="n"/>
      <c r="P31" s="17" t="n"/>
      <c r="Q31" s="17" t="n"/>
      <c r="R31" s="17" t="n"/>
      <c r="S31" s="17" t="n"/>
      <c r="T31" s="17" t="n"/>
      <c r="U31" s="17" t="n"/>
      <c r="V31" s="17" t="n"/>
      <c r="W31" s="17" t="n"/>
      <c r="X31" s="17" t="n"/>
      <c r="Y31" s="17" t="n"/>
      <c r="Z31" s="17" t="n"/>
    </row>
    <row r="32" ht="43.5" customHeight="1" s="15">
      <c r="A32" s="17" t="inlineStr">
        <is>
          <t>G1-027</t>
        </is>
      </c>
      <c r="B32" s="27" t="inlineStr">
        <is>
          <t>STD Templates</t>
        </is>
      </c>
      <c r="C32" s="27" t="inlineStr">
        <is>
          <t>Add bounded release concern capture.</t>
        </is>
      </c>
      <c r="D32" s="27" t="inlineStr">
        <is>
          <t>Create and resolve a concern without automatic content or lifecycle effect.</t>
        </is>
      </c>
      <c r="E32" s="27" t="inlineStr">
        <is>
          <t>One Report concern dialog in Verification.</t>
        </is>
      </c>
      <c r="F32" s="27" t="inlineStr">
        <is>
          <t>STD-TPL-001 v0.13 / AUTH-ADR-001 v1.10</t>
        </is>
      </c>
      <c r="G32" s="27" t="inlineStr">
        <is>
          <t>Mixed approved/proposed</t>
        </is>
      </c>
      <c r="H32" s="27" t="inlineStr">
        <is>
          <t>No</t>
        </is>
      </c>
      <c r="I32" s="27" t="inlineStr">
        <is>
          <t>Not started</t>
        </is>
      </c>
      <c r="J32" s="27" t="inlineStr">
        <is>
          <t>Not started</t>
        </is>
      </c>
      <c r="K32" s="27" t="n"/>
      <c r="L32" s="17" t="n"/>
      <c r="M32" s="17" t="n"/>
      <c r="N32" s="17" t="n"/>
      <c r="O32" s="17" t="n"/>
      <c r="P32" s="17" t="n"/>
      <c r="Q32" s="17" t="n"/>
      <c r="R32" s="17" t="n"/>
      <c r="S32" s="17" t="n"/>
      <c r="T32" s="17" t="n"/>
      <c r="U32" s="17" t="n"/>
      <c r="V32" s="17" t="n"/>
      <c r="W32" s="17" t="n"/>
      <c r="X32" s="17" t="n"/>
      <c r="Y32" s="17" t="n"/>
      <c r="Z32" s="17" t="n"/>
    </row>
    <row r="33" ht="43.5" customHeight="1" s="15">
      <c r="A33" s="17" t="inlineStr">
        <is>
          <t>G1-028</t>
        </is>
      </c>
      <c r="B33" s="27" t="inlineStr">
        <is>
          <t>Template runtime</t>
        </is>
      </c>
      <c r="C33" s="27" t="inlineStr">
        <is>
          <t>Use one compiler and registered renderer adapters.</t>
        </is>
      </c>
      <c r="D33" s="27" t="inlineStr">
        <is>
          <t>Canonical parity for fixture/production; exact adapter/version compatibility.</t>
        </is>
      </c>
      <c r="E33" s="27" t="inlineStr">
        <is>
          <t>Technical identities remain collapsed; routine failure copy is direct.</t>
        </is>
      </c>
      <c r="F33" s="27" t="inlineStr">
        <is>
          <t>STD-TPL-001 v0.13 / STD-TPL-IMP-001 v1.1</t>
        </is>
      </c>
      <c r="G33" s="27" t="inlineStr">
        <is>
          <t>Mixed approved/proposed</t>
        </is>
      </c>
      <c r="H33" s="27" t="inlineStr">
        <is>
          <t>Yes</t>
        </is>
      </c>
      <c r="I33" s="27" t="inlineStr">
        <is>
          <t>Not started</t>
        </is>
      </c>
      <c r="J33" s="27" t="inlineStr">
        <is>
          <t>Not started</t>
        </is>
      </c>
      <c r="K33" s="27" t="n"/>
      <c r="L33" s="17" t="n"/>
      <c r="M33" s="17" t="n"/>
      <c r="N33" s="17" t="n"/>
      <c r="O33" s="17" t="n"/>
      <c r="P33" s="17" t="n"/>
      <c r="Q33" s="17" t="n"/>
      <c r="R33" s="17" t="n"/>
      <c r="S33" s="17" t="n"/>
      <c r="T33" s="17" t="n"/>
      <c r="U33" s="17" t="n"/>
      <c r="V33" s="17" t="n"/>
      <c r="W33" s="17" t="n"/>
      <c r="X33" s="17" t="n"/>
      <c r="Y33" s="17" t="n"/>
      <c r="Z33" s="17" t="n"/>
    </row>
    <row r="34" ht="43.5" customHeight="1" s="15">
      <c r="A34" s="17" t="inlineStr">
        <is>
          <t>G1-029</t>
        </is>
      </c>
      <c r="B34" s="27" t="inlineStr">
        <is>
          <t>Tenders</t>
        </is>
      </c>
      <c r="C34" s="27" t="inlineStr">
        <is>
          <t>Enforce Superseded release continuation without rebinding.</t>
        </is>
      </c>
      <c r="D34" s="27" t="inlineStr">
        <is>
          <t>Only already-bound unpublished Tenders with passing integrity/adapters continue.</t>
        </is>
      </c>
      <c r="E34" s="27" t="inlineStr">
        <is>
          <t>Show successor notice and preserved exact release.</t>
        </is>
      </c>
      <c r="F34" s="27" t="inlineStr">
        <is>
          <t>TPR-CHG-001 v0.13 / STD-TPL-001 v0.13</t>
        </is>
      </c>
      <c r="G34" s="27" t="inlineStr">
        <is>
          <t>Approved requirement</t>
        </is>
      </c>
      <c r="H34" s="27" t="inlineStr">
        <is>
          <t>Yes</t>
        </is>
      </c>
      <c r="I34" s="27" t="inlineStr">
        <is>
          <t>Not started</t>
        </is>
      </c>
      <c r="J34" s="27" t="inlineStr">
        <is>
          <t>Not started</t>
        </is>
      </c>
      <c r="K34" s="27" t="n"/>
      <c r="L34" s="17" t="n"/>
      <c r="M34" s="17" t="n"/>
      <c r="N34" s="17" t="n"/>
      <c r="O34" s="17" t="n"/>
      <c r="P34" s="17" t="n"/>
      <c r="Q34" s="17" t="n"/>
      <c r="R34" s="17" t="n"/>
      <c r="S34" s="17" t="n"/>
      <c r="T34" s="17" t="n"/>
      <c r="U34" s="17" t="n"/>
      <c r="V34" s="17" t="n"/>
      <c r="W34" s="17" t="n"/>
      <c r="X34" s="17" t="n"/>
      <c r="Y34" s="17" t="n"/>
      <c r="Z34" s="17" t="n"/>
    </row>
    <row r="35" ht="43.5" customHeight="1" s="15">
      <c r="A35" s="17" t="inlineStr">
        <is>
          <t>G1-030</t>
        </is>
      </c>
      <c r="B35" s="27" t="inlineStr">
        <is>
          <t>Tenders</t>
        </is>
      </c>
      <c r="C35" s="27" t="inlineStr">
        <is>
          <t>Block unpublished continuation on Withdrawn release.</t>
        </is>
      </c>
      <c r="D35" s="27" t="inlineStr">
        <is>
          <t>Block submit/approve/publish/addendum/Bid start; preserve published history.</t>
        </is>
      </c>
      <c r="E35" s="27" t="inlineStr">
        <is>
          <t>Direct reason, release link and governed next step.</t>
        </is>
      </c>
      <c r="F35" s="27" t="inlineStr">
        <is>
          <t>TPR-CHG-001 v0.13 / STD-TPL-001 v0.13</t>
        </is>
      </c>
      <c r="G35" s="27" t="inlineStr">
        <is>
          <t>Approved requirement</t>
        </is>
      </c>
      <c r="H35" s="27" t="inlineStr">
        <is>
          <t>Yes</t>
        </is>
      </c>
      <c r="I35" s="27" t="inlineStr">
        <is>
          <t>Not started</t>
        </is>
      </c>
      <c r="J35" s="27" t="inlineStr">
        <is>
          <t>Not started</t>
        </is>
      </c>
      <c r="K35" s="27" t="n"/>
      <c r="L35" s="17" t="n"/>
      <c r="M35" s="17" t="n"/>
      <c r="N35" s="17" t="n"/>
      <c r="O35" s="17" t="n"/>
      <c r="P35" s="17" t="n"/>
      <c r="Q35" s="17" t="n"/>
      <c r="R35" s="17" t="n"/>
      <c r="S35" s="17" t="n"/>
      <c r="T35" s="17" t="n"/>
      <c r="U35" s="17" t="n"/>
      <c r="V35" s="17" t="n"/>
      <c r="W35" s="17" t="n"/>
      <c r="X35" s="17" t="n"/>
      <c r="Y35" s="17" t="n"/>
      <c r="Z35" s="17" t="n"/>
    </row>
    <row r="36" ht="43.5" customHeight="1" s="15">
      <c r="A36" s="17" t="inlineStr">
        <is>
          <t>RES-001</t>
        </is>
      </c>
      <c r="B36" s="27" t="inlineStr">
        <is>
          <t>Procurement Planning</t>
        </is>
      </c>
      <c r="C36" s="27" t="inlineStr">
        <is>
          <t>Compute reservation target from eligible current complete APP value.</t>
        </is>
      </c>
      <c r="D36" s="27" t="inlineStr">
        <is>
          <t>Version denominator and included/excluded item evidence.</t>
        </is>
      </c>
      <c r="E36" s="27" t="inlineStr">
        <is>
          <t>Show target, planned qualifying value and gap in plain language.</t>
        </is>
      </c>
      <c r="F36" s="27" t="inlineStr">
        <is>
          <t>PLN-CHG-001 v1.27 / LAW-REG-001 v1.2</t>
        </is>
      </c>
      <c r="G36" s="27" t="inlineStr">
        <is>
          <t>Approved requirement</t>
        </is>
      </c>
      <c r="H36" s="27" t="inlineStr">
        <is>
          <t>Yes</t>
        </is>
      </c>
      <c r="I36" s="27" t="inlineStr">
        <is>
          <t>Not started</t>
        </is>
      </c>
      <c r="J36" s="27" t="inlineStr">
        <is>
          <t>Not started</t>
        </is>
      </c>
      <c r="K36" s="27" t="n"/>
      <c r="L36" s="17" t="n"/>
      <c r="M36" s="17" t="n"/>
      <c r="N36" s="17" t="n"/>
      <c r="O36" s="17" t="n"/>
      <c r="P36" s="17" t="n"/>
      <c r="Q36" s="17" t="n"/>
      <c r="R36" s="17" t="n"/>
      <c r="S36" s="17" t="n"/>
      <c r="T36" s="17" t="n"/>
      <c r="U36" s="17" t="n"/>
      <c r="V36" s="17" t="n"/>
      <c r="W36" s="17" t="n"/>
      <c r="X36" s="17" t="n"/>
      <c r="Y36" s="17" t="n"/>
      <c r="Z36" s="17" t="n"/>
    </row>
    <row r="37" ht="43.5" customHeight="1" s="15">
      <c r="A37" s="17" t="inlineStr">
        <is>
          <t>RES-002</t>
        </is>
      </c>
      <c r="B37" s="27" t="inlineStr">
        <is>
          <t>Budget and Funding</t>
        </is>
      </c>
      <c r="C37" s="27" t="inlineStr">
        <is>
          <t>Remove any annual reservation-denominator control or API.</t>
        </is>
      </c>
      <c r="D37" s="27" t="inlineStr">
        <is>
          <t>Retain ceilings and affordability only.</t>
        </is>
      </c>
      <c r="E37" s="27" t="inlineStr">
        <is>
          <t>No user-entered 30% base in Budget.</t>
        </is>
      </c>
      <c r="F37" s="27" t="inlineStr">
        <is>
          <t>BUD-CHG-001 v1.11</t>
        </is>
      </c>
      <c r="G37" s="27" t="inlineStr">
        <is>
          <t>Approved requirement</t>
        </is>
      </c>
      <c r="H37" s="27" t="inlineStr">
        <is>
          <t>No</t>
        </is>
      </c>
      <c r="I37" s="27" t="inlineStr">
        <is>
          <t>Not started</t>
        </is>
      </c>
      <c r="J37" s="27" t="inlineStr">
        <is>
          <t>Not started</t>
        </is>
      </c>
      <c r="K37" s="27" t="n"/>
      <c r="L37" s="17" t="n"/>
      <c r="M37" s="17" t="n"/>
      <c r="N37" s="17" t="n"/>
      <c r="O37" s="17" t="n"/>
      <c r="P37" s="17" t="n"/>
      <c r="Q37" s="17" t="n"/>
      <c r="R37" s="17" t="n"/>
      <c r="S37" s="17" t="n"/>
      <c r="T37" s="17" t="n"/>
      <c r="U37" s="17" t="n"/>
      <c r="V37" s="17" t="n"/>
      <c r="W37" s="17" t="n"/>
      <c r="X37" s="17" t="n"/>
      <c r="Y37" s="17" t="n"/>
      <c r="Z37" s="17" t="n"/>
    </row>
    <row r="38" ht="43.5" customHeight="1" s="15">
      <c r="A38" s="17" t="inlineStr">
        <is>
          <t>RES-003</t>
        </is>
      </c>
      <c r="B38" s="27" t="inlineStr">
        <is>
          <t>Planning and Setup</t>
        </is>
      </c>
      <c r="C38" s="27" t="inlineStr">
        <is>
          <t>Separate national reservation designation from county-resident treatment.</t>
        </is>
      </c>
      <c r="D38" s="27" t="inlineStr">
        <is>
          <t>Independent rules, flags, outcomes and reports.</t>
        </is>
      </c>
      <c r="E38" s="27" t="inlineStr">
        <is>
          <t>Distinct labels and explanations.</t>
        </is>
      </c>
      <c r="F38" s="27" t="inlineStr">
        <is>
          <t>PLN-CHG-001 v1.27 / CFG-CHG-002 v0.16</t>
        </is>
      </c>
      <c r="G38" s="27" t="inlineStr">
        <is>
          <t>Mixed approved/proposed</t>
        </is>
      </c>
      <c r="H38" s="27" t="inlineStr">
        <is>
          <t>Yes</t>
        </is>
      </c>
      <c r="I38" s="27" t="inlineStr">
        <is>
          <t>Not started</t>
        </is>
      </c>
      <c r="J38" s="27" t="inlineStr">
        <is>
          <t>Not started</t>
        </is>
      </c>
      <c r="K38" s="27" t="n"/>
      <c r="L38" s="17" t="n"/>
      <c r="M38" s="17" t="n"/>
      <c r="N38" s="17" t="n"/>
      <c r="O38" s="17" t="n"/>
      <c r="P38" s="17" t="n"/>
      <c r="Q38" s="17" t="n"/>
      <c r="R38" s="17" t="n"/>
      <c r="S38" s="17" t="n"/>
      <c r="T38" s="17" t="n"/>
      <c r="U38" s="17" t="n"/>
      <c r="V38" s="17" t="n"/>
      <c r="W38" s="17" t="n"/>
      <c r="X38" s="17" t="n"/>
      <c r="Y38" s="17" t="n"/>
      <c r="Z38" s="17" t="n"/>
    </row>
    <row r="39" ht="43.5" customHeight="1" s="15">
      <c r="A39" s="17" t="inlineStr">
        <is>
          <t>RES-004</t>
        </is>
      </c>
      <c r="B39" s="27" t="inlineStr">
        <is>
          <t>Requisition to Bid</t>
        </is>
      </c>
      <c r="C39" s="27" t="inlineStr">
        <is>
          <t>Carry exact reservation treatment downstream without recomputation.</t>
        </is>
      </c>
      <c r="D39" s="27" t="inlineStr">
        <is>
          <t>Preserve designation, basis, lots and applicable evidence.</t>
        </is>
      </c>
      <c r="E39" s="27" t="inlineStr">
        <is>
          <t>Show concise confirmed treatment with correction route.</t>
        </is>
      </c>
      <c r="F39" s="27" t="inlineStr">
        <is>
          <t>REQ-CHG-001 v1.12 / TPR-CHG-001 v0.13 / BDS-CHG-001 v0.8</t>
        </is>
      </c>
      <c r="G39" s="27" t="inlineStr">
        <is>
          <t>Approved requirement</t>
        </is>
      </c>
      <c r="H39" s="27" t="inlineStr">
        <is>
          <t>Yes</t>
        </is>
      </c>
      <c r="I39" s="27" t="inlineStr">
        <is>
          <t>Not started</t>
        </is>
      </c>
      <c r="J39" s="27" t="inlineStr">
        <is>
          <t>Not started</t>
        </is>
      </c>
      <c r="K39" s="27" t="n"/>
      <c r="L39" s="17" t="n"/>
      <c r="M39" s="17" t="n"/>
      <c r="N39" s="17" t="n"/>
      <c r="O39" s="17" t="n"/>
      <c r="P39" s="17" t="n"/>
      <c r="Q39" s="17" t="n"/>
      <c r="R39" s="17" t="n"/>
      <c r="S39" s="17" t="n"/>
      <c r="T39" s="17" t="n"/>
      <c r="U39" s="17" t="n"/>
      <c r="V39" s="17" t="n"/>
      <c r="W39" s="17" t="n"/>
      <c r="X39" s="17" t="n"/>
      <c r="Y39" s="17" t="n"/>
      <c r="Z39" s="17" t="n"/>
    </row>
    <row r="40" ht="43.5" customHeight="1" s="15">
      <c r="A40" s="17" t="inlineStr">
        <is>
          <t>RES-005</t>
        </is>
      </c>
      <c r="B40" s="27" t="inlineStr">
        <is>
          <t>Fixtures</t>
        </is>
      </c>
      <c r="C40" s="27" t="inlineStr">
        <is>
          <t>Update fixtures and arithmetic to the corrected denominator.</t>
        </is>
      </c>
      <c r="D40" s="27" t="inlineStr">
        <is>
          <t>One mathematically consistent APP, requisition, tender and bid chain.</t>
        </is>
      </c>
      <c r="E40" s="27" t="inlineStr">
        <is>
          <t>No contradictory reservation states across artboards.</t>
        </is>
      </c>
      <c r="F40" s="27" t="inlineStr">
        <is>
          <t>SEED-001 v1.3 / RES-IMP-001 v1.0</t>
        </is>
      </c>
      <c r="G40" s="27" t="inlineStr">
        <is>
          <t>Needs reconciliation</t>
        </is>
      </c>
      <c r="H40" s="27" t="inlineStr">
        <is>
          <t>Yes</t>
        </is>
      </c>
      <c r="I40" s="27" t="inlineStr">
        <is>
          <t>Not started</t>
        </is>
      </c>
      <c r="J40" s="27" t="inlineStr">
        <is>
          <t>Pending</t>
        </is>
      </c>
      <c r="K40" s="27" t="n"/>
      <c r="L40" s="17" t="n"/>
      <c r="M40" s="17" t="n"/>
      <c r="N40" s="17" t="n"/>
      <c r="O40" s="17" t="n"/>
      <c r="P40" s="17" t="n"/>
      <c r="Q40" s="17" t="n"/>
      <c r="R40" s="17" t="n"/>
      <c r="S40" s="17" t="n"/>
      <c r="T40" s="17" t="n"/>
      <c r="U40" s="17" t="n"/>
      <c r="V40" s="17" t="n"/>
      <c r="W40" s="17" t="n"/>
      <c r="X40" s="17" t="n"/>
      <c r="Y40" s="17" t="n"/>
      <c r="Z40" s="17" t="n"/>
    </row>
    <row r="41" ht="43.5" customHeight="1" s="15">
      <c r="A41" s="17" t="inlineStr">
        <is>
          <t>RES-006</t>
        </is>
      </c>
      <c r="B41" s="27" t="inlineStr">
        <is>
          <t>Implementation Correction</t>
        </is>
      </c>
      <c r="C41" s="27" t="inlineStr">
        <is>
          <t>Remove obsolete reservation fields, services, labels and tests.</t>
        </is>
      </c>
      <c r="D41" s="27" t="inlineStr">
        <is>
          <t>Migrate or retire old inputs safely.</t>
        </is>
      </c>
      <c r="E41" s="27" t="inlineStr">
        <is>
          <t>Simplify affected screens and supporting detail.</t>
        </is>
      </c>
      <c r="F41" s="27" t="inlineStr">
        <is>
          <t>RES-IMP-001 v1.0</t>
        </is>
      </c>
      <c r="G41" s="27" t="inlineStr">
        <is>
          <t>Approved requirement</t>
        </is>
      </c>
      <c r="H41" s="27" t="inlineStr">
        <is>
          <t>Yes</t>
        </is>
      </c>
      <c r="I41" s="27" t="inlineStr">
        <is>
          <t>Not started</t>
        </is>
      </c>
      <c r="J41" s="27" t="inlineStr">
        <is>
          <t>Not started</t>
        </is>
      </c>
      <c r="K41" s="27" t="n"/>
      <c r="L41" s="17" t="n"/>
      <c r="M41" s="17" t="n"/>
      <c r="N41" s="17" t="n"/>
      <c r="O41" s="17" t="n"/>
      <c r="P41" s="17" t="n"/>
      <c r="Q41" s="17" t="n"/>
      <c r="R41" s="17" t="n"/>
      <c r="S41" s="17" t="n"/>
      <c r="T41" s="17" t="n"/>
      <c r="U41" s="17" t="n"/>
      <c r="V41" s="17" t="n"/>
      <c r="W41" s="17" t="n"/>
      <c r="X41" s="17" t="n"/>
      <c r="Y41" s="17" t="n"/>
      <c r="Z41" s="17" t="n"/>
    </row>
    <row r="42" ht="43.5" customHeight="1" s="15">
      <c r="A42" s="17" t="inlineStr">
        <is>
          <t>WF-001</t>
        </is>
      </c>
      <c r="B42" s="27" t="inlineStr">
        <is>
          <t>Shared workflow</t>
        </is>
      </c>
      <c r="C42" s="27" t="inlineStr">
        <is>
          <t>Implement the server-produced next-step response and explicit guard reasons.</t>
        </is>
      </c>
      <c r="D42" s="27" t="inlineStr">
        <is>
          <t>Return exactly one actionable, waiting, blocked-with-remedy or completed outcome for each supported persona and record state.</t>
        </is>
      </c>
      <c r="E42" s="27" t="inlineStr">
        <is>
          <t>Use one concise next-step block with owner, explanation and direct action where authorised.</t>
        </is>
      </c>
      <c r="F42" s="27" t="inlineStr">
        <is>
          <t>KT-STD-001 v1.9 / current module document</t>
        </is>
      </c>
      <c r="G42" s="27" t="inlineStr">
        <is>
          <t>Approved requirement</t>
        </is>
      </c>
      <c r="H42" s="27" t="inlineStr">
        <is>
          <t>Yes</t>
        </is>
      </c>
      <c r="I42" s="27" t="inlineStr">
        <is>
          <t>Not started</t>
        </is>
      </c>
      <c r="J42" s="27" t="inlineStr">
        <is>
          <t>Not started</t>
        </is>
      </c>
      <c r="K42" s="27" t="n"/>
      <c r="L42" s="17" t="n"/>
      <c r="M42" s="17" t="n"/>
      <c r="N42" s="17" t="n"/>
      <c r="O42" s="17" t="n"/>
      <c r="P42" s="17" t="n"/>
      <c r="Q42" s="17" t="n"/>
      <c r="R42" s="17" t="n"/>
      <c r="S42" s="17" t="n"/>
      <c r="T42" s="17" t="n"/>
      <c r="U42" s="17" t="n"/>
      <c r="V42" s="17" t="n"/>
      <c r="W42" s="17" t="n"/>
      <c r="X42" s="17" t="n"/>
      <c r="Y42" s="17" t="n"/>
      <c r="Z42" s="17" t="n"/>
    </row>
    <row r="43" ht="43.5" customHeight="1" s="15">
      <c r="A43" s="17" t="inlineStr">
        <is>
          <t>WF-002</t>
        </is>
      </c>
      <c r="B43" s="27" t="inlineStr">
        <is>
          <t>Integrated Verification</t>
        </is>
      </c>
      <c r="C43" s="27" t="inlineStr">
        <is>
          <t>Automate the no-dead-end conformance test.</t>
        </is>
      </c>
      <c r="D43" s="27" t="inlineStr">
        <is>
          <t>Enumerate supported persona/state pairs and fail any state lacking a valid next-step outcome.</t>
        </is>
      </c>
      <c r="E43" s="27" t="inlineStr">
        <is>
          <t>Verify that copy identifies the next actor and correction route without internal jargon.</t>
        </is>
      </c>
      <c r="F43" s="27" t="inlineStr">
        <is>
          <t>KT-STD-001 v1.9</t>
        </is>
      </c>
      <c r="G43" s="27" t="inlineStr">
        <is>
          <t>Approved requirement</t>
        </is>
      </c>
      <c r="H43" s="27" t="inlineStr">
        <is>
          <t>Yes</t>
        </is>
      </c>
      <c r="I43" s="27" t="inlineStr">
        <is>
          <t>Not started</t>
        </is>
      </c>
      <c r="J43" s="27" t="inlineStr">
        <is>
          <t>Not started</t>
        </is>
      </c>
      <c r="K43" s="27" t="n"/>
      <c r="L43" s="17" t="n"/>
      <c r="M43" s="17" t="n"/>
      <c r="N43" s="17" t="n"/>
      <c r="O43" s="17" t="n"/>
      <c r="P43" s="17" t="n"/>
      <c r="Q43" s="17" t="n"/>
      <c r="R43" s="17" t="n"/>
      <c r="S43" s="17" t="n"/>
      <c r="T43" s="17" t="n"/>
      <c r="U43" s="17" t="n"/>
      <c r="V43" s="17" t="n"/>
      <c r="W43" s="17" t="n"/>
      <c r="X43" s="17" t="n"/>
      <c r="Y43" s="17" t="n"/>
      <c r="Z43" s="17" t="n"/>
    </row>
    <row r="44" ht="43.5" customHeight="1" s="15">
      <c r="A44" s="17" t="inlineStr">
        <is>
          <t>WF-003</t>
        </is>
      </c>
      <c r="B44" s="27" t="inlineStr">
        <is>
          <t>My Work and hand-offs</t>
        </is>
      </c>
      <c r="C44" s="27" t="inlineStr">
        <is>
          <t>Create the complete hand-off register and consume it in My Work, waiting views and notifications.</t>
        </is>
      </c>
      <c r="D44" s="27" t="inlineStr">
        <is>
          <t>Cover every cross-role and cross-module hand-off with stable identity, ownership and lifecycle.</t>
        </is>
      </c>
      <c r="E44" s="27" t="inlineStr">
        <is>
          <t>Show work requiring action separately from items waiting on another responsibility.</t>
        </is>
      </c>
      <c r="F44" s="27" t="inlineStr">
        <is>
          <t>KT-STD-001 v1.9 / PLN-CHG-001 v1.27 / BUD-CHG-001 v1.11 / REQ-CHG-001 v1.12</t>
        </is>
      </c>
      <c r="G44" s="27" t="inlineStr">
        <is>
          <t>Approved requirement</t>
        </is>
      </c>
      <c r="H44" s="27" t="inlineStr">
        <is>
          <t>Yes</t>
        </is>
      </c>
      <c r="I44" s="27" t="inlineStr">
        <is>
          <t>Not started</t>
        </is>
      </c>
      <c r="J44" s="27" t="inlineStr">
        <is>
          <t>Not started</t>
        </is>
      </c>
      <c r="K44" s="27" t="n"/>
      <c r="L44" s="17" t="n"/>
      <c r="M44" s="17" t="n"/>
      <c r="N44" s="17" t="n"/>
      <c r="O44" s="17" t="n"/>
      <c r="P44" s="17" t="n"/>
      <c r="Q44" s="17" t="n"/>
      <c r="R44" s="17" t="n"/>
      <c r="S44" s="17" t="n"/>
      <c r="T44" s="17" t="n"/>
      <c r="U44" s="17" t="n"/>
      <c r="V44" s="17" t="n"/>
      <c r="W44" s="17" t="n"/>
      <c r="X44" s="17" t="n"/>
      <c r="Y44" s="17" t="n"/>
      <c r="Z44" s="17" t="n"/>
    </row>
    <row r="45" ht="43.5" customHeight="1" s="15">
      <c r="A45" s="17" t="inlineStr">
        <is>
          <t>WF-004</t>
        </is>
      </c>
      <c r="B45" s="27" t="inlineStr">
        <is>
          <t>Journey orientation</t>
        </is>
      </c>
      <c r="C45" s="27" t="inlineStr">
        <is>
          <t>Add the restrained journey tracker and useful Home orientation.</t>
        </is>
      </c>
      <c r="D45" s="27" t="inlineStr">
        <is>
          <t>Derive stage and next-step context from authoritative workflow and hand-off state.</t>
        </is>
      </c>
      <c r="E45" s="27" t="inlineStr">
        <is>
          <t>Orient users without duplicating status, exposing internal machinery or overwhelming the primary task.</t>
        </is>
      </c>
      <c r="F45" s="27" t="inlineStr">
        <is>
          <t>KT-STD-001 v1.9 / current module document</t>
        </is>
      </c>
      <c r="G45" s="27" t="inlineStr">
        <is>
          <t>Approved requirement</t>
        </is>
      </c>
      <c r="H45" s="27" t="inlineStr">
        <is>
          <t>No</t>
        </is>
      </c>
      <c r="I45" s="27" t="inlineStr">
        <is>
          <t>Not started</t>
        </is>
      </c>
      <c r="J45" s="27" t="inlineStr">
        <is>
          <t>Not started</t>
        </is>
      </c>
      <c r="K45" s="27" t="n"/>
      <c r="L45" s="17" t="n"/>
      <c r="M45" s="17" t="n"/>
      <c r="N45" s="17" t="n"/>
      <c r="O45" s="17" t="n"/>
      <c r="P45" s="17" t="n"/>
      <c r="Q45" s="17" t="n"/>
      <c r="R45" s="17" t="n"/>
      <c r="S45" s="17" t="n"/>
      <c r="T45" s="17" t="n"/>
      <c r="U45" s="17" t="n"/>
      <c r="V45" s="17" t="n"/>
      <c r="W45" s="17" t="n"/>
      <c r="X45" s="17" t="n"/>
      <c r="Y45" s="17" t="n"/>
      <c r="Z45" s="17" t="n"/>
    </row>
    <row r="46" ht="43.5" customHeight="1" s="15">
      <c r="A46" s="17" t="inlineStr">
        <is>
          <t>PLN-027-001</t>
        </is>
      </c>
      <c r="B46" s="27" t="inlineStr">
        <is>
          <t>Procurement Planning</t>
        </is>
      </c>
      <c r="C46" s="27" t="inlineStr">
        <is>
          <t>Implement the corrected blocker matrix and funding-confirmation route.</t>
        </is>
      </c>
      <c r="D46" s="27" t="inlineStr">
        <is>
          <t>Over-budget and missing-method conditions block Request plan funding confirmation; reservation shortfall blocks only Sign and submit Annual Plan.</t>
        </is>
      </c>
      <c r="E46" s="27" t="inlineStr">
        <is>
          <t>Name the affected action, reason, responsible role and direct correction route.</t>
        </is>
      </c>
      <c r="F46" s="27" t="inlineStr">
        <is>
          <t>PLN-CHG-001 v1.27</t>
        </is>
      </c>
      <c r="G46" s="27" t="inlineStr">
        <is>
          <t>Approved requirement</t>
        </is>
      </c>
      <c r="H46" s="27" t="inlineStr">
        <is>
          <t>Yes</t>
        </is>
      </c>
      <c r="I46" s="27" t="inlineStr">
        <is>
          <t>Not started</t>
        </is>
      </c>
      <c r="J46" s="27" t="inlineStr">
        <is>
          <t>Not started</t>
        </is>
      </c>
      <c r="K46" s="27" t="n"/>
      <c r="L46" s="17" t="n"/>
      <c r="M46" s="17" t="n"/>
      <c r="N46" s="17" t="n"/>
      <c r="O46" s="17" t="n"/>
      <c r="P46" s="17" t="n"/>
      <c r="Q46" s="17" t="n"/>
      <c r="R46" s="17" t="n"/>
      <c r="S46" s="17" t="n"/>
      <c r="T46" s="17" t="n"/>
      <c r="U46" s="17" t="n"/>
      <c r="V46" s="17" t="n"/>
      <c r="W46" s="17" t="n"/>
      <c r="X46" s="17" t="n"/>
      <c r="Y46" s="17" t="n"/>
      <c r="Z46" s="17" t="n"/>
    </row>
    <row r="47" ht="43.5" customHeight="1" s="15">
      <c r="A47" s="17" t="inlineStr">
        <is>
          <t>PLN-027-002</t>
        </is>
      </c>
      <c r="B47" s="27" t="inlineStr">
        <is>
          <t>Planning to Budget</t>
        </is>
      </c>
      <c r="C47" s="27" t="inlineStr">
        <is>
          <t>Implement the Planning budget revision request aggregate and hand-off.</t>
        </is>
      </c>
      <c r="D47" s="27" t="inlineStr">
        <is>
          <t>Create, send and track the immutable request without changing amounts, reservations or approvals.</t>
        </is>
      </c>
      <c r="E47" s="27" t="inlineStr">
        <is>
          <t>Show requested outcome, reason, Budget owner and returned outcome in plain language.</t>
        </is>
      </c>
      <c r="F47" s="27" t="inlineStr">
        <is>
          <t>PLN-CHG-001 v1.27 / BUD-CHG-001 v1.11</t>
        </is>
      </c>
      <c r="G47" s="27" t="inlineStr">
        <is>
          <t>Approved requirement</t>
        </is>
      </c>
      <c r="H47" s="27" t="inlineStr">
        <is>
          <t>Yes</t>
        </is>
      </c>
      <c r="I47" s="27" t="inlineStr">
        <is>
          <t>Not started</t>
        </is>
      </c>
      <c r="J47" s="27" t="inlineStr">
        <is>
          <t>Not started</t>
        </is>
      </c>
      <c r="K47" s="27" t="n"/>
      <c r="L47" s="17" t="n"/>
      <c r="M47" s="17" t="n"/>
      <c r="N47" s="17" t="n"/>
      <c r="O47" s="17" t="n"/>
      <c r="P47" s="17" t="n"/>
      <c r="Q47" s="17" t="n"/>
      <c r="R47" s="17" t="n"/>
      <c r="S47" s="17" t="n"/>
      <c r="T47" s="17" t="n"/>
      <c r="U47" s="17" t="n"/>
      <c r="V47" s="17" t="n"/>
      <c r="W47" s="17" t="n"/>
      <c r="X47" s="17" t="n"/>
      <c r="Y47" s="17" t="n"/>
      <c r="Z47" s="17" t="n"/>
    </row>
    <row r="48" ht="43.5" customHeight="1" s="15">
      <c r="A48" s="17" t="inlineStr">
        <is>
          <t>BUD-011-001</t>
        </is>
      </c>
      <c r="B48" s="27" t="inlineStr">
        <is>
          <t>Budget and Funding</t>
        </is>
      </c>
      <c r="C48" s="27" t="inlineStr">
        <is>
          <t>Implement the Budget-owned receiving side of Planning budget revision requests.</t>
        </is>
      </c>
      <c r="D48" s="27" t="inlineStr">
        <is>
          <t>Receive, decline, withdraw, register successor allocation evidence and return the outcome to Planning.</t>
        </is>
      </c>
      <c r="E48" s="27" t="inlineStr">
        <is>
          <t>Keep the request distinct from the budget revision itself and clearly identify the next responsible user.</t>
        </is>
      </c>
      <c r="F48" s="27" t="inlineStr">
        <is>
          <t>BUD-CHG-001 v1.11 / PLN-CHG-001 v1.27</t>
        </is>
      </c>
      <c r="G48" s="27" t="inlineStr">
        <is>
          <t>Approved requirement</t>
        </is>
      </c>
      <c r="H48" s="27" t="inlineStr">
        <is>
          <t>Yes</t>
        </is>
      </c>
      <c r="I48" s="27" t="inlineStr">
        <is>
          <t>Not started</t>
        </is>
      </c>
      <c r="J48" s="27" t="inlineStr">
        <is>
          <t>Not started</t>
        </is>
      </c>
      <c r="K48" s="27" t="n"/>
      <c r="L48" s="17" t="n"/>
      <c r="M48" s="17" t="n"/>
      <c r="N48" s="17" t="n"/>
      <c r="O48" s="17" t="n"/>
      <c r="P48" s="17" t="n"/>
      <c r="Q48" s="17" t="n"/>
      <c r="R48" s="17" t="n"/>
      <c r="S48" s="17" t="n"/>
      <c r="T48" s="17" t="n"/>
      <c r="U48" s="17" t="n"/>
      <c r="V48" s="17" t="n"/>
      <c r="W48" s="17" t="n"/>
      <c r="X48" s="17" t="n"/>
      <c r="Y48" s="17" t="n"/>
      <c r="Z48" s="17" t="n"/>
    </row>
    <row r="49" ht="43.5" customHeight="1" s="15">
      <c r="A49" s="17" t="inlineStr">
        <is>
          <t>REQ-012-001</t>
        </is>
      </c>
      <c r="B49" s="27" t="inlineStr">
        <is>
          <t>Procurement Requisitions</t>
        </is>
      </c>
      <c r="C49" s="27" t="inlineStr">
        <is>
          <t>Create the REQ-owned Purchase ready for requisition item when a plan is activated.</t>
        </is>
      </c>
      <c r="D49" s="27" t="inlineStr">
        <is>
          <t>Use the existing requisition aggregate and Ready to start lifecycle with no new role, state, command or approval stage.</t>
        </is>
      </c>
      <c r="E49" s="27" t="inlineStr">
        <is>
          <t>Show the item in the existing workspace and start the requisition directly.</t>
        </is>
      </c>
      <c r="F49" s="27" t="inlineStr">
        <is>
          <t>REQ-CHG-001 v1.12 / PLN-CHG-001 v1.27</t>
        </is>
      </c>
      <c r="G49" s="27" t="inlineStr">
        <is>
          <t>Approved requirement</t>
        </is>
      </c>
      <c r="H49" s="27" t="inlineStr">
        <is>
          <t>Yes</t>
        </is>
      </c>
      <c r="I49" s="27" t="inlineStr">
        <is>
          <t>Not started</t>
        </is>
      </c>
      <c r="J49" s="27" t="inlineStr">
        <is>
          <t>Not started</t>
        </is>
      </c>
      <c r="K49" s="27" t="n"/>
      <c r="L49" s="17" t="n"/>
      <c r="M49" s="17" t="n"/>
      <c r="N49" s="17" t="n"/>
      <c r="O49" s="17" t="n"/>
      <c r="P49" s="17" t="n"/>
      <c r="Q49" s="17" t="n"/>
      <c r="R49" s="17" t="n"/>
      <c r="S49" s="17" t="n"/>
      <c r="T49" s="17" t="n"/>
      <c r="U49" s="17" t="n"/>
      <c r="V49" s="17" t="n"/>
      <c r="W49" s="17" t="n"/>
      <c r="X49" s="17" t="n"/>
      <c r="Y49" s="17" t="n"/>
      <c r="Z49" s="17" t="n"/>
    </row>
    <row r="50" ht="43.5" customHeight="1" s="15">
      <c r="A50" s="17" t="inlineStr">
        <is>
          <t>TRUST-001</t>
        </is>
      </c>
      <c r="B50" s="27" t="inlineStr">
        <is>
          <t>Shared Trust Infrastructure</t>
        </is>
      </c>
      <c r="C50" s="27" t="inlineStr">
        <is>
          <t>Build synthetic signing/custody test adapters and later a separately approved production support module.</t>
        </is>
      </c>
      <c r="D50" s="27" t="inlineStr">
        <is>
          <t>Preserve exact-target member evidence, sealed receipts and BOP ordered reveal API; then integrate licensed provider, external keys, independent multi-person release and recovery.</t>
        </is>
      </c>
      <c r="E50" s="27" t="inlineStr">
        <is>
          <t>Keep ordinary approvals and statutory signatures distinct; label test attestations/receipts and hide production submission/opening actions.</t>
        </is>
      </c>
      <c r="F50" s="27" t="inlineStr">
        <is>
          <t>TRUST-ADR-001 v0.1 / BDS-CHG-001 v0.8 / BOP-CHG-001 v0.10 proposed / PRC-CHG-001 v0.9 proposed</t>
        </is>
      </c>
      <c r="G50" s="27" t="inlineStr">
        <is>
          <t>Approved requirement</t>
        </is>
      </c>
      <c r="H50" s="27" t="inlineStr">
        <is>
          <t>Yes</t>
        </is>
      </c>
      <c r="I50" s="27" t="inlineStr">
        <is>
          <t>Not started</t>
        </is>
      </c>
      <c r="J50" s="27" t="inlineStr">
        <is>
          <t>Not started</t>
        </is>
      </c>
      <c r="K50" s="27" t="n"/>
      <c r="L50" s="17" t="n"/>
      <c r="M50" s="17" t="n"/>
      <c r="N50" s="17" t="n"/>
      <c r="O50" s="17" t="n"/>
      <c r="P50" s="17" t="n"/>
      <c r="Q50" s="17" t="n"/>
      <c r="R50" s="17" t="n"/>
      <c r="S50" s="17" t="n"/>
      <c r="T50" s="17" t="n"/>
      <c r="U50" s="17" t="n"/>
      <c r="V50" s="17" t="n"/>
      <c r="W50" s="17" t="n"/>
      <c r="X50" s="17" t="n"/>
      <c r="Y50" s="17" t="n"/>
      <c r="Z50" s="17" t="n"/>
    </row>
    <row r="51" ht="43.5" customHeight="1" s="15">
      <c r="A51" s="17" t="inlineStr">
        <is>
          <t>G1-031</t>
        </is>
      </c>
      <c r="B51" s="27" t="inlineStr">
        <is>
          <t>Tenders / Bid Submission</t>
        </is>
      </c>
      <c r="C51" s="27" t="inlineStr">
        <is>
          <t>Apply approved published-Tender bound-release behavior after Supersession or Withdrawal.</t>
        </is>
      </c>
      <c r="D51" s="27" t="inlineStr">
        <is>
          <t>Allow already-bound published Tenders on a Superseded release to issue lawful addenda and accept Bid start/submission while exact checks pass; on Withdrawn block new start/addendum/submission/replacement but preserve reads, existing receipts and lawful pre-deadline withdrawal.</t>
        </is>
      </c>
      <c r="E51" s="27" t="inlineStr">
        <is>
          <t>Show truthful lifecycle notices and allowed next actions to internal and supplier users.</t>
        </is>
      </c>
      <c r="F51" s="27" t="inlineStr">
        <is>
          <t>TPR-CHG-001 v0.13 / BDS-CHG-001 v0.8</t>
        </is>
      </c>
      <c r="G51" s="27" t="inlineStr">
        <is>
          <t>Approved requirement</t>
        </is>
      </c>
      <c r="H51" s="27" t="inlineStr">
        <is>
          <t>Yes</t>
        </is>
      </c>
      <c r="I51" s="27" t="inlineStr">
        <is>
          <t>Not started</t>
        </is>
      </c>
      <c r="J51" s="27" t="inlineStr">
        <is>
          <t>Not started</t>
        </is>
      </c>
      <c r="K51" s="27" t="n"/>
      <c r="L51" s="17" t="n"/>
      <c r="M51" s="17" t="n"/>
      <c r="N51" s="17" t="n"/>
      <c r="O51" s="17" t="n"/>
      <c r="P51" s="17" t="n"/>
      <c r="Q51" s="17" t="n"/>
      <c r="R51" s="17" t="n"/>
      <c r="S51" s="17" t="n"/>
      <c r="T51" s="17" t="n"/>
      <c r="U51" s="17" t="n"/>
      <c r="V51" s="17" t="n"/>
      <c r="W51" s="17" t="n"/>
      <c r="X51" s="17" t="n"/>
      <c r="Y51" s="17" t="n"/>
      <c r="Z51" s="17" t="n"/>
    </row>
    <row r="52" ht="43.5" customHeight="1" s="15">
      <c r="A52" s="17" t="inlineStr">
        <is>
          <t>AWD-001</t>
        </is>
      </c>
      <c r="B52" s="27" t="inlineStr">
        <is>
          <t>Award</t>
        </is>
      </c>
      <c r="C52" s="27" t="inlineStr">
        <is>
          <t>Reconcile the reported Award development build with proposed v0.4 and complete its owner contracts and acceptance tests.</t>
        </is>
      </c>
      <c r="D52" s="27" t="inlineStr">
        <is>
          <t>Exact Evaluation receipt; signed HOP opinion; AO decision and notices; supplier response; legal waits/restrictions; durable Contracting receipt.</t>
        </is>
      </c>
      <c r="E52" s="27" t="inlineStr">
        <is>
          <t>Plain task-led record and supplier notice; no repeated evaluation or extra notice/delivery approval.</t>
        </is>
      </c>
      <c r="F52" s="27" t="inlineStr">
        <is>
          <t>AWD-CHG-001 v0.4</t>
        </is>
      </c>
      <c r="G52" s="27" t="inlineStr">
        <is>
          <t>Approved requirement</t>
        </is>
      </c>
      <c r="H52" s="27" t="inlineStr">
        <is>
          <t>Yes</t>
        </is>
      </c>
      <c r="I52" s="27" t="inlineStr">
        <is>
          <t>In progress</t>
        </is>
      </c>
      <c r="J52" s="27" t="inlineStr">
        <is>
          <t>Pending</t>
        </is>
      </c>
      <c r="K52" s="27" t="inlineStr">
        <is>
          <t>SEED-OPS v1.18 reports Award built under plan decision OD-A “Build now, amend later”; the plan and full acceptance results were not supplied. AWD-AC-001–031 remain required tests, not executed evidence.</t>
        </is>
      </c>
      <c r="L52" s="17" t="n"/>
      <c r="M52" s="17" t="n"/>
      <c r="N52" s="17" t="n"/>
      <c r="O52" s="17" t="n"/>
      <c r="P52" s="17" t="n"/>
      <c r="Q52" s="17" t="n"/>
      <c r="R52" s="17" t="n"/>
      <c r="S52" s="17" t="n"/>
      <c r="T52" s="17" t="n"/>
      <c r="U52" s="17" t="n"/>
      <c r="V52" s="17" t="n"/>
      <c r="W52" s="17" t="n"/>
      <c r="X52" s="17" t="n"/>
      <c r="Y52" s="17" t="n"/>
      <c r="Z52" s="17" t="n"/>
    </row>
    <row r="53" ht="43.5" customHeight="1" s="15">
      <c r="A53" s="17" t="inlineStr">
        <is>
          <t>G1-032</t>
        </is>
      </c>
      <c r="B53" s="27" t="inlineStr">
        <is>
          <t>STD Templates</t>
        </is>
      </c>
      <c r="C53" s="27" t="inlineStr">
        <is>
          <t>Issue an IT Equipment template release with official conflict-of-interest wording and per-item details (questionnaire Part A, item 9 treatment) and release-validator checks 22 and 23.</t>
        </is>
      </c>
      <c r="D53" s="27" t="inlineStr">
        <is>
          <t>Nine conflict items carry digest-checked official wording and their own conditional details; item 9 shown only when item 7 or 8 is Yes; validator fails missing item wording and unrecorded table collapse.</t>
        </is>
      </c>
      <c r="E53" s="27" t="inlineStr">
        <is>
          <t>Supplier and evaluator see the conflict wording; no portal change.</t>
        </is>
      </c>
      <c r="F53" s="27" t="inlineStr">
        <is>
          <t>STD-TPL-001 successor for Part A (not yet drafted) / STD-TPL-001 proposed v0.14</t>
        </is>
      </c>
      <c r="G53" s="27" t="inlineStr">
        <is>
          <t>Draft</t>
        </is>
      </c>
      <c r="H53" s="27" t="inlineStr">
        <is>
          <t>Yes</t>
        </is>
      </c>
      <c r="I53" s="27" t="inlineStr">
        <is>
          <t>Not started</t>
        </is>
      </c>
      <c r="J53" s="27" t="inlineStr">
        <is>
          <t>Not started</t>
        </is>
      </c>
      <c r="K53" s="27" t="n"/>
      <c r="L53" s="17" t="n"/>
      <c r="M53" s="17" t="n"/>
      <c r="N53" s="17" t="n"/>
      <c r="O53" s="17" t="n"/>
      <c r="P53" s="17" t="n"/>
      <c r="Q53" s="17" t="n"/>
      <c r="R53" s="17" t="n"/>
      <c r="S53" s="17" t="n"/>
      <c r="T53" s="17" t="n"/>
      <c r="U53" s="17" t="n"/>
      <c r="V53" s="17" t="n"/>
      <c r="W53" s="17" t="n"/>
      <c r="X53" s="17" t="n"/>
      <c r="Y53" s="17" t="n"/>
      <c r="Z53" s="17" t="n"/>
    </row>
    <row r="54" ht="43.5" customHeight="1" s="15">
      <c r="A54" s="17" t="inlineStr">
        <is>
          <t>G1-033</t>
        </is>
      </c>
      <c r="B54" s="27" t="inlineStr">
        <is>
          <t>STD Templates / Bid Workspace</t>
        </is>
      </c>
      <c r="C54" s="27" t="inlineStr">
        <is>
          <t>Add a bounded repeating row group for official tables (questionnaire Part B).</t>
        </is>
      </c>
      <c r="D54" s="27" t="inlineStr">
        <is>
          <t>Partners, directors and persons-with-interest tables captured as rows with named columns; new composition and renderer version.</t>
        </is>
      </c>
      <c r="E54" s="27" t="inlineStr">
        <is>
          <t>Repeating rows in the questionnaire drawer.</t>
        </is>
      </c>
      <c r="F54" s="27" t="inlineStr">
        <is>
          <t>STD-TPL-001 successor for Part B (not yet drafted; row count D4 undecided) / BDS-CHG-001 successor</t>
        </is>
      </c>
      <c r="G54" s="27" t="inlineStr">
        <is>
          <t>Draft</t>
        </is>
      </c>
      <c r="H54" s="27" t="inlineStr">
        <is>
          <t>Yes</t>
        </is>
      </c>
      <c r="I54" s="27" t="inlineStr">
        <is>
          <t>Not started</t>
        </is>
      </c>
      <c r="J54" s="27" t="inlineStr">
        <is>
          <t>Not started</t>
        </is>
      </c>
      <c r="K54" s="27" t="n"/>
      <c r="L54" s="17" t="n"/>
      <c r="M54" s="17" t="n"/>
      <c r="N54" s="17" t="n"/>
      <c r="O54" s="17" t="n"/>
      <c r="P54" s="17" t="n"/>
      <c r="Q54" s="17" t="n"/>
      <c r="R54" s="17" t="n"/>
      <c r="S54" s="17" t="n"/>
      <c r="T54" s="17" t="n"/>
      <c r="U54" s="17" t="n"/>
      <c r="V54" s="17" t="n"/>
      <c r="W54" s="17" t="n"/>
      <c r="X54" s="17" t="n"/>
      <c r="Y54" s="17" t="n"/>
      <c r="Z54" s="17" t="n"/>
    </row>
    <row r="55" ht="43.5" customHeight="1" s="15">
      <c r="A55" s="17" t="inlineStr">
        <is>
          <t>G1-034</t>
        </is>
      </c>
      <c r="B55" s="27" t="inlineStr">
        <is>
          <t>STD Templates / Tenders</t>
        </is>
      </c>
      <c r="C55" s="27" t="inlineStr">
        <is>
          <t>Build the template walkthrough.</t>
        </is>
      </c>
      <c r="D55" s="27" t="inlineStr">
        <is>
          <t>STD Templates walkthrough over the release fixture; Tender walkthrough before and after publication; server-evaluated answers never saved; field panel and All supplier fields list.</t>
        </is>
      </c>
      <c r="E55" s="27" t="inlineStr">
        <is>
          <t>STD-DES-03 full-screen route; Walk through supplier bid on STD Templates and TPR-DES-05, 06, 07 and 09.</t>
        </is>
      </c>
      <c r="F55" s="27" t="inlineStr">
        <is>
          <t>STD-TPL-001 proposed v0.14 / TPR-CHG-001 and BDS-CHG-001 successors not yet drafted / STD-TPL-IMP-001 v1.1</t>
        </is>
      </c>
      <c r="G55" s="27" t="inlineStr">
        <is>
          <t>Project Owner review</t>
        </is>
      </c>
      <c r="H55" s="27" t="inlineStr">
        <is>
          <t>No</t>
        </is>
      </c>
      <c r="I55" s="27" t="inlineStr">
        <is>
          <t>Not started</t>
        </is>
      </c>
      <c r="J55" s="27" t="inlineStr">
        <is>
          <t>Not started</t>
        </is>
      </c>
      <c r="K55" s="27" t="n"/>
      <c r="L55" s="17" t="n"/>
      <c r="M55" s="17" t="n"/>
      <c r="N55" s="17" t="n"/>
      <c r="O55" s="17" t="n"/>
      <c r="P55" s="17" t="n"/>
      <c r="Q55" s="17" t="n"/>
      <c r="R55" s="17" t="n"/>
      <c r="S55" s="17" t="n"/>
      <c r="T55" s="17" t="n"/>
      <c r="U55" s="17" t="n"/>
      <c r="V55" s="17" t="n"/>
      <c r="W55" s="17" t="n"/>
      <c r="X55" s="17" t="n"/>
      <c r="Y55" s="17" t="n"/>
      <c r="Z55" s="17" t="n"/>
    </row>
    <row r="56" ht="15" customHeight="1" s="15">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row>
    <row r="57" ht="15" customHeight="1" s="15">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row>
    <row r="58" ht="15" customHeight="1" s="15">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row>
    <row r="59" ht="15" customHeight="1" s="15">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row>
    <row r="60" ht="15" customHeight="1" s="15">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row>
    <row r="61" ht="15" customHeight="1" s="15">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row>
    <row r="62" ht="15" customHeight="1" s="15">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row>
    <row r="63" ht="15" customHeight="1" s="15">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row>
    <row r="64" ht="15" customHeight="1" s="15">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row>
    <row r="65" ht="15" customHeight="1" s="15">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row>
    <row r="66" ht="15" customHeight="1" s="15">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row>
    <row r="67" ht="15" customHeight="1" s="15">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row>
    <row r="68" ht="15" customHeight="1" s="15">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row>
    <row r="69" ht="15" customHeight="1" s="15">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row>
    <row r="70" ht="15" customHeight="1" s="15">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row>
    <row r="71" ht="15" customHeight="1" s="15">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row>
    <row r="72" ht="15" customHeight="1" s="15">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row>
    <row r="73" ht="15" customHeight="1" s="15">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row>
    <row r="74" ht="15" customHeight="1" s="15">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row>
    <row r="75" ht="15" customHeight="1" s="15">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row>
    <row r="76" ht="15" customHeight="1" s="15">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row>
    <row r="77" ht="15" customHeight="1" s="15">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row>
    <row r="78" ht="15" customHeight="1" s="15">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row>
    <row r="79" ht="15" customHeight="1" s="15">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row>
    <row r="80" ht="15" customHeight="1" s="15">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row>
    <row r="81" ht="15" customHeight="1" s="15">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row>
    <row r="82" ht="15" customHeight="1" s="15">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row>
    <row r="83" ht="15" customHeight="1" s="15">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row>
    <row r="84" ht="15" customHeight="1" s="15">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row>
    <row r="85" ht="15" customHeight="1" s="15">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row>
    <row r="86" ht="15" customHeight="1" s="15">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row>
    <row r="87" ht="15" customHeight="1" s="15">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row>
    <row r="88" ht="15" customHeight="1" s="15">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row>
    <row r="89" ht="15" customHeight="1" s="15">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row>
    <row r="90" ht="15" customHeight="1" s="15">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row>
    <row r="91" ht="15" customHeight="1" s="15">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row>
    <row r="92" ht="15" customHeight="1" s="15">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row>
    <row r="93" ht="15" customHeight="1" s="15">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row>
    <row r="94" ht="15" customHeight="1" s="15">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row>
    <row r="95" ht="15" customHeight="1" s="15">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row>
    <row r="96" ht="15" customHeight="1" s="15">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row>
    <row r="97" ht="15" customHeight="1" s="15">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row>
    <row r="98" ht="15" customHeight="1" s="15">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row>
    <row r="99" ht="15" customHeight="1" s="15">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row>
    <row r="100" ht="15" customHeight="1" s="15">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row>
    <row r="101" ht="15" customHeight="1" s="15">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row>
    <row r="102" ht="15" customHeight="1" s="15">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row>
    <row r="103" ht="15" customHeight="1" s="15">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row>
    <row r="104" ht="15" customHeight="1" s="15">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row>
    <row r="105" ht="15" customHeight="1" s="15">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row>
    <row r="106" ht="15" customHeight="1" s="15">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row>
    <row r="107" ht="15" customHeight="1" s="15">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row>
    <row r="108" ht="15" customHeight="1" s="15">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row>
    <row r="109" ht="15" customHeight="1" s="15">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row>
    <row r="110" ht="15" customHeight="1" s="15">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row>
    <row r="111" ht="15" customHeight="1" s="15">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row>
    <row r="112" ht="15" customHeight="1" s="15">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row>
    <row r="113" ht="15" customHeight="1" s="15">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row>
    <row r="114" ht="15" customHeight="1" s="15">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row>
    <row r="115" ht="15" customHeight="1" s="15">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row>
    <row r="116" ht="15" customHeight="1" s="15">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row>
    <row r="117" ht="15" customHeight="1" s="15">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row>
    <row r="118" ht="15" customHeight="1" s="15">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row>
    <row r="119" ht="15" customHeight="1" s="15">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row>
    <row r="120" ht="15" customHeight="1" s="15">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row>
    <row r="121" ht="15" customHeight="1" s="15">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row>
    <row r="122" ht="15" customHeight="1" s="15">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row>
    <row r="123" ht="15" customHeight="1" s="15">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row>
    <row r="124" ht="15" customHeight="1" s="15">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row>
    <row r="125" ht="15" customHeight="1" s="15">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row>
    <row r="126" ht="15" customHeight="1" s="15">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row>
    <row r="127" ht="15" customHeight="1" s="15">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row>
    <row r="128" ht="15" customHeight="1" s="15">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row>
    <row r="129" ht="15" customHeight="1" s="15">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row>
    <row r="130" ht="15" customHeight="1" s="15">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row>
    <row r="131" ht="15" customHeight="1" s="15">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row>
    <row r="132" ht="15" customHeight="1" s="15">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row>
    <row r="133" ht="15" customHeight="1" s="15">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row>
    <row r="134" ht="15" customHeight="1" s="15">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row>
    <row r="135" ht="15" customHeight="1" s="15">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row>
    <row r="136" ht="15" customHeight="1" s="15">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row>
    <row r="137" ht="15" customHeight="1" s="15">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row>
    <row r="138" ht="15" customHeight="1" s="15">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row>
    <row r="139" ht="15" customHeight="1" s="15">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row>
    <row r="140" ht="15" customHeight="1" s="15">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row>
    <row r="141" ht="15" customHeight="1" s="15">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row>
    <row r="142" ht="15" customHeight="1" s="15">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row>
    <row r="143" ht="15" customHeight="1" s="15">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row>
    <row r="144" ht="15" customHeight="1" s="15">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row>
    <row r="145" ht="15" customHeight="1" s="15">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row>
    <row r="146" ht="15" customHeight="1" s="15">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row>
    <row r="147" ht="15" customHeight="1" s="15">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row>
    <row r="148" ht="15" customHeight="1" s="15">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row>
    <row r="149" ht="15" customHeight="1" s="15">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row>
    <row r="150" ht="15" customHeight="1" s="15">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row>
    <row r="151" ht="15" customHeight="1" s="15">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row>
    <row r="152" ht="15" customHeight="1" s="15">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row>
    <row r="153" ht="15" customHeight="1" s="15">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row>
    <row r="154" ht="15" customHeight="1" s="15">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row>
    <row r="155" ht="15" customHeight="1" s="15">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row>
    <row r="156" ht="15" customHeight="1" s="15">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row>
    <row r="157" ht="15" customHeight="1" s="15">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row>
    <row r="158" ht="15" customHeight="1" s="15">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row>
    <row r="159" ht="15" customHeight="1" s="15">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row>
    <row r="160" ht="15" customHeight="1" s="15">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row>
    <row r="161" ht="15" customHeight="1" s="15">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row>
    <row r="162" ht="15" customHeight="1" s="15">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row>
    <row r="163" ht="15" customHeight="1" s="15">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row>
    <row r="164" ht="15" customHeight="1" s="15">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row>
    <row r="165" ht="15" customHeight="1" s="15">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row>
    <row r="166" ht="15" customHeight="1" s="15">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row>
    <row r="167" ht="15" customHeight="1" s="15">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row>
    <row r="168" ht="15" customHeight="1" s="15">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row>
    <row r="169" ht="15" customHeight="1" s="15">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row>
    <row r="170" ht="15" customHeight="1" s="15">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row>
    <row r="171" ht="15" customHeight="1" s="15">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row>
    <row r="172" ht="15" customHeight="1" s="15">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row>
    <row r="173" ht="15" customHeight="1" s="15">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row>
    <row r="174" ht="15" customHeight="1" s="15">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row>
    <row r="175" ht="15" customHeight="1" s="15">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row>
    <row r="176" ht="15" customHeight="1" s="15">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row>
    <row r="177" ht="15" customHeight="1" s="15">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row>
    <row r="178" ht="15" customHeight="1" s="15">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row>
    <row r="179" ht="15" customHeight="1" s="15">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row>
    <row r="180" ht="15" customHeight="1" s="15">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row>
    <row r="181" ht="15" customHeight="1" s="15">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row>
    <row r="182" ht="15" customHeight="1" s="15">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row>
    <row r="183" ht="15" customHeight="1" s="15">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row>
    <row r="184" ht="15" customHeight="1" s="15">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row>
    <row r="185" ht="15" customHeight="1" s="15">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row>
    <row r="186" ht="15" customHeight="1" s="15">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row>
    <row r="187" ht="15" customHeight="1" s="15">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row>
    <row r="188" ht="15" customHeight="1" s="15">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row>
    <row r="189" ht="15" customHeight="1" s="15">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row>
    <row r="190" ht="15" customHeight="1" s="15">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row>
    <row r="191" ht="15" customHeight="1" s="15">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row>
    <row r="192" ht="15" customHeight="1" s="15">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row>
    <row r="193" ht="15" customHeight="1" s="15">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row>
    <row r="194" ht="15" customHeight="1" s="15">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row>
    <row r="195" ht="15" customHeight="1" s="15">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row>
    <row r="196" ht="15" customHeight="1" s="15">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row>
    <row r="197" ht="15" customHeight="1" s="15">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row>
    <row r="198" ht="15" customHeight="1" s="15">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row>
    <row r="199" ht="15" customHeight="1" s="15">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row>
    <row r="200" ht="15" customHeight="1" s="15">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row>
  </sheetData>
  <mergeCells count="2">
    <mergeCell ref="A2:K2"/>
    <mergeCell ref="A1:K1"/>
  </mergeCells>
  <conditionalFormatting sqref="G6:G55">
    <cfRule type="containsText" rank="0" priority="2" equalAverage="0" operator="containsText" aboveAverage="0" dxfId="13" text="Approved" percent="0" bottom="0">
      <formula>NOT(ISERROR(SEARCH("Approved",G6)))</formula>
    </cfRule>
    <cfRule type="containsText" rank="0" priority="3" equalAverage="0" operator="containsText" aboveAverage="0" dxfId="13" text="Passed" percent="0" bottom="0">
      <formula>NOT(ISERROR(SEARCH("Passed",G6)))</formula>
    </cfRule>
    <cfRule type="containsText" rank="0" priority="4" equalAverage="0" operator="containsText" aboveAverage="0" dxfId="13" text="Released" percent="0" bottom="0">
      <formula>NOT(ISERROR(SEARCH("Released",G6)))</formula>
    </cfRule>
    <cfRule type="containsText" rank="0" priority="5" equalAverage="0" operator="containsText" aboveAverage="0" dxfId="1" text="Project Owner review" percent="0" bottom="0">
      <formula>NOT(ISERROR(SEARCH("Project Owner review",G6)))</formula>
    </cfRule>
    <cfRule type="containsText" rank="0" priority="6" equalAverage="0" operator="containsText" aboveAverage="0" dxfId="14" text="Pending" percent="0" bottom="0">
      <formula>NOT(ISERROR(SEARCH("Pending",G6)))</formula>
    </cfRule>
    <cfRule type="containsText" rank="0" priority="7" equalAverage="0" operator="containsText" aboveAverage="0" dxfId="0" text="Blocked" percent="0" bottom="0">
      <formula>NOT(ISERROR(SEARCH("Blocked",G6)))</formula>
    </cfRule>
    <cfRule type="containsText" rank="0" priority="8" equalAverage="0" operator="containsText" aboveAverage="0" dxfId="0" text="unresolved" percent="0" bottom="0">
      <formula>NOT(ISERROR(SEARCH("unresolved",G6)))</formula>
    </cfRule>
    <cfRule type="containsText" rank="0" priority="9" equalAverage="0" operator="containsText" aboveAverage="0" dxfId="15" text="Not started" percent="0" bottom="0">
      <formula>NOT(ISERROR(SEARCH("Not started",G6)))</formula>
    </cfRule>
    <cfRule type="containsText" rank="0" priority="10" equalAverage="0" operator="containsText" aboveAverage="0" dxfId="15" text="Not evidenced" percent="0" bottom="0">
      <formula>NOT(ISERROR(SEARCH("Not evidenced",G6)))</formula>
    </cfRule>
  </conditionalFormatting>
  <conditionalFormatting sqref="I6:I55">
    <cfRule type="containsText" rank="0" priority="11" equalAverage="0" operator="containsText" aboveAverage="0" dxfId="13" text="Approved" percent="0" bottom="0">
      <formula>NOT(ISERROR(SEARCH("Approved",I6)))</formula>
    </cfRule>
    <cfRule type="containsText" rank="0" priority="12" equalAverage="0" operator="containsText" aboveAverage="0" dxfId="13" text="Passed" percent="0" bottom="0">
      <formula>NOT(ISERROR(SEARCH("Passed",I6)))</formula>
    </cfRule>
    <cfRule type="containsText" rank="0" priority="13" equalAverage="0" operator="containsText" aboveAverage="0" dxfId="13" text="Released" percent="0" bottom="0">
      <formula>NOT(ISERROR(SEARCH("Released",I6)))</formula>
    </cfRule>
    <cfRule type="containsText" rank="0" priority="14" equalAverage="0" operator="containsText" aboveAverage="0" dxfId="1" text="Project Owner review" percent="0" bottom="0">
      <formula>NOT(ISERROR(SEARCH("Project Owner review",I6)))</formula>
    </cfRule>
    <cfRule type="containsText" rank="0" priority="15" equalAverage="0" operator="containsText" aboveAverage="0" dxfId="14" text="Pending" percent="0" bottom="0">
      <formula>NOT(ISERROR(SEARCH("Pending",I6)))</formula>
    </cfRule>
    <cfRule type="containsText" rank="0" priority="16" equalAverage="0" operator="containsText" aboveAverage="0" dxfId="0" text="Blocked" percent="0" bottom="0">
      <formula>NOT(ISERROR(SEARCH("Blocked",I6)))</formula>
    </cfRule>
    <cfRule type="containsText" rank="0" priority="17" equalAverage="0" operator="containsText" aboveAverage="0" dxfId="0" text="unresolved" percent="0" bottom="0">
      <formula>NOT(ISERROR(SEARCH("unresolved",I6)))</formula>
    </cfRule>
    <cfRule type="containsText" rank="0" priority="18" equalAverage="0" operator="containsText" aboveAverage="0" dxfId="15" text="Not started" percent="0" bottom="0">
      <formula>NOT(ISERROR(SEARCH("Not started",I6)))</formula>
    </cfRule>
    <cfRule type="containsText" rank="0" priority="19" equalAverage="0" operator="containsText" aboveAverage="0" dxfId="15" text="Not evidenced" percent="0" bottom="0">
      <formula>NOT(ISERROR(SEARCH("Not evidenced",I6)))</formula>
    </cfRule>
  </conditionalFormatting>
  <conditionalFormatting sqref="J6:J55">
    <cfRule type="containsText" rank="0" priority="20" equalAverage="0" operator="containsText" aboveAverage="0" dxfId="13" text="Approved" percent="0" bottom="0">
      <formula>NOT(ISERROR(SEARCH("Approved",J6)))</formula>
    </cfRule>
    <cfRule type="containsText" rank="0" priority="21" equalAverage="0" operator="containsText" aboveAverage="0" dxfId="13" text="Passed" percent="0" bottom="0">
      <formula>NOT(ISERROR(SEARCH("Passed",J6)))</formula>
    </cfRule>
    <cfRule type="containsText" rank="0" priority="22" equalAverage="0" operator="containsText" aboveAverage="0" dxfId="13" text="Released" percent="0" bottom="0">
      <formula>NOT(ISERROR(SEARCH("Released",J6)))</formula>
    </cfRule>
    <cfRule type="containsText" rank="0" priority="23" equalAverage="0" operator="containsText" aboveAverage="0" dxfId="1" text="Project Owner review" percent="0" bottom="0">
      <formula>NOT(ISERROR(SEARCH("Project Owner review",J6)))</formula>
    </cfRule>
    <cfRule type="containsText" rank="0" priority="24" equalAverage="0" operator="containsText" aboveAverage="0" dxfId="14" text="Pending" percent="0" bottom="0">
      <formula>NOT(ISERROR(SEARCH("Pending",J6)))</formula>
    </cfRule>
    <cfRule type="containsText" rank="0" priority="25" equalAverage="0" operator="containsText" aboveAverage="0" dxfId="0" text="Blocked" percent="0" bottom="0">
      <formula>NOT(ISERROR(SEARCH("Blocked",J6)))</formula>
    </cfRule>
    <cfRule type="containsText" rank="0" priority="26" equalAverage="0" operator="containsText" aboveAverage="0" dxfId="0" text="unresolved" percent="0" bottom="0">
      <formula>NOT(ISERROR(SEARCH("unresolved",J6)))</formula>
    </cfRule>
    <cfRule type="containsText" rank="0" priority="27" equalAverage="0" operator="containsText" aboveAverage="0" dxfId="15" text="Not started" percent="0" bottom="0">
      <formula>NOT(ISERROR(SEARCH("Not started",J6)))</formula>
    </cfRule>
    <cfRule type="containsText" rank="0" priority="28" equalAverage="0" operator="containsText" aboveAverage="0" dxfId="15" text="Not evidenced" percent="0" bottom="0">
      <formula>NOT(ISERROR(SEARCH("Not evidenced",J6)))</formula>
    </cfRule>
  </conditionalFormatting>
  <dataValidations count="2">
    <dataValidation sqref="I6:I55" showDropDown="0" showInputMessage="0" showErrorMessage="0" allowBlank="0" type="list" errorStyle="stop" operator="between">
      <formula1>"Not started,Planned,In progress,Implemented,Not evidenced,Not applicable"</formula1>
      <formula2>0</formula2>
    </dataValidation>
    <dataValidation sqref="J6:J55" showDropDown="0" showInputMessage="0" showErrorMessage="0" allowBlank="0" type="list" errorStyle="stop" operator="between">
      <formula1>"Not started,Not evidenced,Pending,Passed,Failed,Not applicable"</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tabColor rgb="FF4472C4"/>
    <outlinePr summaryBelow="1" summaryRight="1"/>
    <pageSetUpPr fitToPage="0"/>
  </sheetPr>
  <dimension ref="A1:Z20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13" customWidth="1" style="14" min="1" max="1"/>
    <col width="31" customWidth="1" style="14" min="2" max="2"/>
    <col width="18" customWidth="1" style="14" min="3" max="3"/>
    <col width="38" customWidth="1" style="14" min="4" max="4"/>
    <col width="14" customWidth="1" style="14" min="5" max="5"/>
    <col width="48" customWidth="1" style="14" min="6" max="6"/>
    <col width="44" customWidth="1" style="14" min="7" max="7"/>
  </cols>
  <sheetData>
    <row r="1" ht="37.5" customHeight="1" s="15">
      <c r="A1" s="16" t="inlineStr">
        <is>
          <t>Future work</t>
        </is>
      </c>
      <c r="H1" s="17" t="n"/>
      <c r="I1" s="17" t="n"/>
      <c r="J1" s="17" t="n"/>
      <c r="K1" s="17" t="n"/>
      <c r="L1" s="17" t="n"/>
      <c r="M1" s="17" t="n"/>
      <c r="N1" s="17" t="n"/>
      <c r="O1" s="17" t="n"/>
      <c r="P1" s="17" t="n"/>
      <c r="Q1" s="17" t="n"/>
      <c r="R1" s="17" t="n"/>
      <c r="S1" s="17" t="n"/>
      <c r="T1" s="17" t="n"/>
      <c r="U1" s="17" t="n"/>
      <c r="V1" s="17" t="n"/>
      <c r="W1" s="17" t="n"/>
      <c r="X1" s="17" t="n"/>
      <c r="Y1" s="17" t="n"/>
      <c r="Z1" s="17" t="n"/>
    </row>
    <row r="2" ht="33.75" customHeight="1" s="15">
      <c r="A2" s="18" t="inlineStr">
        <is>
          <t>Deferred capability remains visible here with an explicit boundary and trigger. This prevents future scope from being mistaken for a current feature or forgotten entirely.</t>
        </is>
      </c>
      <c r="H2" s="17" t="n"/>
      <c r="I2" s="17" t="n"/>
      <c r="J2" s="17" t="n"/>
      <c r="K2" s="17" t="n"/>
      <c r="L2" s="17" t="n"/>
      <c r="M2" s="17" t="n"/>
      <c r="N2" s="17" t="n"/>
      <c r="O2" s="17" t="n"/>
      <c r="P2" s="17" t="n"/>
      <c r="Q2" s="17" t="n"/>
      <c r="R2" s="17" t="n"/>
      <c r="S2" s="17" t="n"/>
      <c r="T2" s="17" t="n"/>
      <c r="U2" s="17" t="n"/>
      <c r="V2" s="17" t="n"/>
      <c r="W2" s="17" t="n"/>
      <c r="X2" s="17" t="n"/>
      <c r="Y2" s="17" t="n"/>
      <c r="Z2" s="17" t="n"/>
    </row>
    <row r="3" ht="15" customHeight="1" s="15">
      <c r="A3" s="17" t="n"/>
      <c r="B3" s="17" t="n"/>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ht="15" customHeight="1" s="15">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row>
    <row r="5" ht="36" customHeight="1" s="15">
      <c r="A5" s="32" t="inlineStr">
        <is>
          <t>Future ID</t>
        </is>
      </c>
      <c r="B5" s="32" t="inlineStr">
        <is>
          <t>Capability</t>
        </is>
      </c>
      <c r="C5" s="32" t="inlineStr">
        <is>
          <t>Planned wave</t>
        </is>
      </c>
      <c r="D5" s="32" t="inlineStr">
        <is>
          <t>Dependency</t>
        </is>
      </c>
      <c r="E5" s="32" t="inlineStr">
        <is>
          <t>Status</t>
        </is>
      </c>
      <c r="F5" s="32" t="inlineStr">
        <is>
          <t>Current boundary</t>
        </is>
      </c>
      <c r="G5" s="32" t="inlineStr">
        <is>
          <t>Trigger to start</t>
        </is>
      </c>
      <c r="H5" s="17" t="n"/>
      <c r="I5" s="17" t="n"/>
      <c r="J5" s="17" t="n"/>
      <c r="K5" s="17" t="n"/>
      <c r="L5" s="17" t="n"/>
      <c r="M5" s="17" t="n"/>
      <c r="N5" s="17" t="n"/>
      <c r="O5" s="17" t="n"/>
      <c r="P5" s="17" t="n"/>
      <c r="Q5" s="17" t="n"/>
      <c r="R5" s="17" t="n"/>
      <c r="S5" s="17" t="n"/>
      <c r="T5" s="17" t="n"/>
      <c r="U5" s="17" t="n"/>
      <c r="V5" s="17" t="n"/>
      <c r="W5" s="17" t="n"/>
      <c r="X5" s="17" t="n"/>
      <c r="Y5" s="17" t="n"/>
      <c r="Z5" s="17" t="n"/>
    </row>
    <row r="6" ht="43.5" customHeight="1" s="15">
      <c r="A6" s="17" t="inlineStr">
        <is>
          <t>FW-001</t>
        </is>
      </c>
      <c r="B6" s="27" t="inlineStr">
        <is>
          <t>Bid Opening</t>
        </is>
      </c>
      <c r="C6" s="27" t="inlineStr">
        <is>
          <t>Post Gate 1</t>
        </is>
      </c>
      <c r="D6" s="27" t="inlineStr">
        <is>
          <t>Sealed Bid Submission handoff</t>
        </is>
      </c>
      <c r="E6" s="27" t="inlineStr">
        <is>
          <t>Planned</t>
        </is>
      </c>
      <c r="F6" s="27" t="inlineStr">
        <is>
          <t>Not part of BDS v0.7</t>
        </is>
      </c>
      <c r="G6" s="27" t="inlineStr">
        <is>
          <t>Approve a separate Bid Opening requirements change unit.</t>
        </is>
      </c>
      <c r="H6" s="17" t="n"/>
      <c r="I6" s="17" t="n"/>
      <c r="J6" s="17" t="n"/>
      <c r="K6" s="17" t="n"/>
      <c r="L6" s="17" t="n"/>
      <c r="M6" s="17" t="n"/>
      <c r="N6" s="17" t="n"/>
      <c r="O6" s="17" t="n"/>
      <c r="P6" s="17" t="n"/>
      <c r="Q6" s="17" t="n"/>
      <c r="R6" s="17" t="n"/>
      <c r="S6" s="17" t="n"/>
      <c r="T6" s="17" t="n"/>
      <c r="U6" s="17" t="n"/>
      <c r="V6" s="17" t="n"/>
      <c r="W6" s="17" t="n"/>
      <c r="X6" s="17" t="n"/>
      <c r="Y6" s="17" t="n"/>
      <c r="Z6" s="17" t="n"/>
    </row>
    <row r="7" ht="43.5" customHeight="1" s="15">
      <c r="A7" s="17" t="inlineStr">
        <is>
          <t>FW-002</t>
        </is>
      </c>
      <c r="B7" s="27" t="inlineStr">
        <is>
          <t>Evaluation and Award</t>
        </is>
      </c>
      <c r="C7" s="27" t="inlineStr">
        <is>
          <t>Post Gate 1</t>
        </is>
      </c>
      <c r="D7" s="27" t="inlineStr">
        <is>
          <t>Bid Opening; STD evaluation mappings</t>
        </is>
      </c>
      <c r="E7" s="27" t="inlineStr">
        <is>
          <t>Planned</t>
        </is>
      </c>
      <c r="F7" s="27" t="inlineStr">
        <is>
          <t>No evaluation workflow in current Gate 1</t>
        </is>
      </c>
      <c r="G7" s="27" t="inlineStr">
        <is>
          <t>Complete Bid Opening and approve evaluation governance.</t>
        </is>
      </c>
      <c r="H7" s="17" t="n"/>
      <c r="I7" s="17" t="n"/>
      <c r="J7" s="17" t="n"/>
      <c r="K7" s="17" t="n"/>
      <c r="L7" s="17" t="n"/>
      <c r="M7" s="17" t="n"/>
      <c r="N7" s="17" t="n"/>
      <c r="O7" s="17" t="n"/>
      <c r="P7" s="17" t="n"/>
      <c r="Q7" s="17" t="n"/>
      <c r="R7" s="17" t="n"/>
      <c r="S7" s="17" t="n"/>
      <c r="T7" s="17" t="n"/>
      <c r="U7" s="17" t="n"/>
      <c r="V7" s="17" t="n"/>
      <c r="W7" s="17" t="n"/>
      <c r="X7" s="17" t="n"/>
      <c r="Y7" s="17" t="n"/>
      <c r="Z7" s="17" t="n"/>
    </row>
    <row r="8" ht="43.5" customHeight="1" s="15">
      <c r="A8" s="17" t="inlineStr">
        <is>
          <t>FW-003</t>
        </is>
      </c>
      <c r="B8" s="27" t="inlineStr">
        <is>
          <t>Supplier Management and prequalification</t>
        </is>
      </c>
      <c r="C8" s="27" t="inlineStr">
        <is>
          <t>Future programme</t>
        </is>
      </c>
      <c r="D8" s="27" t="inlineStr">
        <is>
          <t>Supplier organisation identity</t>
        </is>
      </c>
      <c r="E8" s="27" t="inlineStr">
        <is>
          <t>Planned</t>
        </is>
      </c>
      <c r="F8" s="27" t="inlineStr">
        <is>
          <t>Current supplier access is tender participation only</t>
        </is>
      </c>
      <c r="G8" s="27" t="inlineStr">
        <is>
          <t>Approve supplier lifecycle and data ownership.</t>
        </is>
      </c>
      <c r="H8" s="17" t="n"/>
      <c r="I8" s="17" t="n"/>
      <c r="J8" s="17" t="n"/>
      <c r="K8" s="17" t="n"/>
      <c r="L8" s="17" t="n"/>
      <c r="M8" s="17" t="n"/>
      <c r="N8" s="17" t="n"/>
      <c r="O8" s="17" t="n"/>
      <c r="P8" s="17" t="n"/>
      <c r="Q8" s="17" t="n"/>
      <c r="R8" s="17" t="n"/>
      <c r="S8" s="17" t="n"/>
      <c r="T8" s="17" t="n"/>
      <c r="U8" s="17" t="n"/>
      <c r="V8" s="17" t="n"/>
      <c r="W8" s="17" t="n"/>
      <c r="X8" s="17" t="n"/>
      <c r="Y8" s="17" t="n"/>
      <c r="Z8" s="17" t="n"/>
    </row>
    <row r="9" ht="43.5" customHeight="1" s="15">
      <c r="A9" s="17" t="inlineStr">
        <is>
          <t>FW-004</t>
        </is>
      </c>
      <c r="B9" s="27" t="inlineStr">
        <is>
          <t>RFQ, Restricted and Direct methods</t>
        </is>
      </c>
      <c r="C9" s="27" t="inlineStr">
        <is>
          <t>Future programme</t>
        </is>
      </c>
      <c r="D9" s="27" t="inlineStr">
        <is>
          <t>Additional method rules and templates</t>
        </is>
      </c>
      <c r="E9" s="27" t="inlineStr">
        <is>
          <t>Planned</t>
        </is>
      </c>
      <c r="F9" s="27" t="inlineStr">
        <is>
          <t>Current controlled template is Open Tender</t>
        </is>
      </c>
      <c r="G9" s="27" t="inlineStr">
        <is>
          <t>Curate and approve each method/product release.</t>
        </is>
      </c>
      <c r="H9" s="17" t="n"/>
      <c r="I9" s="17" t="n"/>
      <c r="J9" s="17" t="n"/>
      <c r="K9" s="17" t="n"/>
      <c r="L9" s="17" t="n"/>
      <c r="M9" s="17" t="n"/>
      <c r="N9" s="17" t="n"/>
      <c r="O9" s="17" t="n"/>
      <c r="P9" s="17" t="n"/>
      <c r="Q9" s="17" t="n"/>
      <c r="R9" s="17" t="n"/>
      <c r="S9" s="17" t="n"/>
      <c r="T9" s="17" t="n"/>
      <c r="U9" s="17" t="n"/>
      <c r="V9" s="17" t="n"/>
      <c r="W9" s="17" t="n"/>
      <c r="X9" s="17" t="n"/>
      <c r="Y9" s="17" t="n"/>
      <c r="Z9" s="17" t="n"/>
    </row>
    <row r="10" ht="43.5" customHeight="1" s="15">
      <c r="A10" s="17" t="inlineStr">
        <is>
          <t>FW-005</t>
        </is>
      </c>
      <c r="B10" s="27" t="inlineStr">
        <is>
          <t>RFP and proposal-based procurement</t>
        </is>
      </c>
      <c r="C10" s="27" t="inlineStr">
        <is>
          <t>Future programme</t>
        </is>
      </c>
      <c r="D10" s="27" t="inlineStr">
        <is>
          <t>Proposal evaluation and negotiation rules</t>
        </is>
      </c>
      <c r="E10" s="27" t="inlineStr">
        <is>
          <t>Planned</t>
        </is>
      </c>
      <c r="F10" s="27" t="inlineStr">
        <is>
          <t>Not covered by IT Equipment Open Tender</t>
        </is>
      </c>
      <c r="G10" s="27" t="inlineStr">
        <is>
          <t>Approve RFP product and evaluation model.</t>
        </is>
      </c>
      <c r="H10" s="17" t="n"/>
      <c r="I10" s="17" t="n"/>
      <c r="J10" s="17" t="n"/>
      <c r="K10" s="17" t="n"/>
      <c r="L10" s="17" t="n"/>
      <c r="M10" s="17" t="n"/>
      <c r="N10" s="17" t="n"/>
      <c r="O10" s="17" t="n"/>
      <c r="P10" s="17" t="n"/>
      <c r="Q10" s="17" t="n"/>
      <c r="R10" s="17" t="n"/>
      <c r="S10" s="17" t="n"/>
      <c r="T10" s="17" t="n"/>
      <c r="U10" s="17" t="n"/>
      <c r="V10" s="17" t="n"/>
      <c r="W10" s="17" t="n"/>
      <c r="X10" s="17" t="n"/>
      <c r="Y10" s="17" t="n"/>
      <c r="Z10" s="17" t="n"/>
    </row>
    <row r="11" ht="43.5" customHeight="1" s="15">
      <c r="A11" s="17" t="inlineStr">
        <is>
          <t>FW-006</t>
        </is>
      </c>
      <c r="B11" s="27" t="inlineStr">
        <is>
          <t>Works tender products</t>
        </is>
      </c>
      <c r="C11" s="27" t="inlineStr">
        <is>
          <t>Future programme</t>
        </is>
      </c>
      <c r="D11" s="27" t="inlineStr">
        <is>
          <t>Works-specific STD release metadata</t>
        </is>
      </c>
      <c r="E11" s="27" t="inlineStr">
        <is>
          <t>Planned</t>
        </is>
      </c>
      <c r="F11" s="27" t="inlineStr">
        <is>
          <t>BDS runtime is extensible but no Works release is approved</t>
        </is>
      </c>
      <c r="G11" s="27" t="inlineStr">
        <is>
          <t>Curate official Works STD and test distinct forms/pricing.</t>
        </is>
      </c>
      <c r="H11" s="17" t="n"/>
      <c r="I11" s="17" t="n"/>
      <c r="J11" s="17" t="n"/>
      <c r="K11" s="17" t="n"/>
      <c r="L11" s="17" t="n"/>
      <c r="M11" s="17" t="n"/>
      <c r="N11" s="17" t="n"/>
      <c r="O11" s="17" t="n"/>
      <c r="P11" s="17" t="n"/>
      <c r="Q11" s="17" t="n"/>
      <c r="R11" s="17" t="n"/>
      <c r="S11" s="17" t="n"/>
      <c r="T11" s="17" t="n"/>
      <c r="U11" s="17" t="n"/>
      <c r="V11" s="17" t="n"/>
      <c r="W11" s="17" t="n"/>
      <c r="X11" s="17" t="n"/>
      <c r="Y11" s="17" t="n"/>
      <c r="Z11" s="17" t="n"/>
    </row>
    <row r="12" ht="43.5" customHeight="1" s="15">
      <c r="A12" s="17" t="inlineStr">
        <is>
          <t>FW-007</t>
        </is>
      </c>
      <c r="B12" s="27" t="inlineStr">
        <is>
          <t>Other Services products</t>
        </is>
      </c>
      <c r="C12" s="27" t="inlineStr">
        <is>
          <t>Future programme</t>
        </is>
      </c>
      <c r="D12" s="27" t="inlineStr">
        <is>
          <t>Services-specific STD release metadata</t>
        </is>
      </c>
      <c r="E12" s="27" t="inlineStr">
        <is>
          <t>Planned</t>
        </is>
      </c>
      <c r="F12" s="27" t="inlineStr">
        <is>
          <t>No approved service product release</t>
        </is>
      </c>
      <c r="G12" s="27" t="inlineStr">
        <is>
          <t>Curate official service STD and response model.</t>
        </is>
      </c>
      <c r="H12" s="17" t="n"/>
      <c r="I12" s="17" t="n"/>
      <c r="J12" s="17" t="n"/>
      <c r="K12" s="17" t="n"/>
      <c r="L12" s="17" t="n"/>
      <c r="M12" s="17" t="n"/>
      <c r="N12" s="17" t="n"/>
      <c r="O12" s="17" t="n"/>
      <c r="P12" s="17" t="n"/>
      <c r="Q12" s="17" t="n"/>
      <c r="R12" s="17" t="n"/>
      <c r="S12" s="17" t="n"/>
      <c r="T12" s="17" t="n"/>
      <c r="U12" s="17" t="n"/>
      <c r="V12" s="17" t="n"/>
      <c r="W12" s="17" t="n"/>
      <c r="X12" s="17" t="n"/>
      <c r="Y12" s="17" t="n"/>
      <c r="Z12" s="17" t="n"/>
    </row>
    <row r="13" ht="43.5" customHeight="1" s="15">
      <c r="A13" s="17" t="inlineStr">
        <is>
          <t>FW-008</t>
        </is>
      </c>
      <c r="B13" s="27" t="inlineStr">
        <is>
          <t>Contract Management</t>
        </is>
      </c>
      <c r="C13" s="27" t="inlineStr">
        <is>
          <t>Future programme</t>
        </is>
      </c>
      <c r="D13" s="27" t="inlineStr">
        <is>
          <t>Award and contract formation</t>
        </is>
      </c>
      <c r="E13" s="27" t="inlineStr">
        <is>
          <t>Planned</t>
        </is>
      </c>
      <c r="F13" s="27" t="inlineStr">
        <is>
          <t>Current contract mappings prepare data only</t>
        </is>
      </c>
      <c r="G13" s="27" t="inlineStr">
        <is>
          <t>Approve contract lifecycle and integration contracts.</t>
        </is>
      </c>
      <c r="H13" s="17" t="n"/>
      <c r="I13" s="17" t="n"/>
      <c r="J13" s="17" t="n"/>
      <c r="K13" s="17" t="n"/>
      <c r="L13" s="17" t="n"/>
      <c r="M13" s="17" t="n"/>
      <c r="N13" s="17" t="n"/>
      <c r="O13" s="17" t="n"/>
      <c r="P13" s="17" t="n"/>
      <c r="Q13" s="17" t="n"/>
      <c r="R13" s="17" t="n"/>
      <c r="S13" s="17" t="n"/>
      <c r="T13" s="17" t="n"/>
      <c r="U13" s="17" t="n"/>
      <c r="V13" s="17" t="n"/>
      <c r="W13" s="17" t="n"/>
      <c r="X13" s="17" t="n"/>
      <c r="Y13" s="17" t="n"/>
      <c r="Z13" s="17" t="n"/>
    </row>
    <row r="14" ht="43.5" customHeight="1" s="15">
      <c r="A14" s="17" t="inlineStr">
        <is>
          <t>FW-009</t>
        </is>
      </c>
      <c r="B14" s="27" t="inlineStr">
        <is>
          <t>IFMIS, inventory, stores and asset integrations</t>
        </is>
      </c>
      <c r="C14" s="27" t="inlineStr">
        <is>
          <t>Future programme</t>
        </is>
      </c>
      <c r="D14" s="27" t="inlineStr">
        <is>
          <t>External interface agreements</t>
        </is>
      </c>
      <c r="E14" s="27" t="inlineStr">
        <is>
          <t>Planned</t>
        </is>
      </c>
      <c r="F14" s="27" t="inlineStr">
        <is>
          <t>No integration mechanism is presumed in MVP</t>
        </is>
      </c>
      <c r="G14" s="27" t="inlineStr">
        <is>
          <t>Agree systems, ownership, security and reconciliation.</t>
        </is>
      </c>
      <c r="H14" s="17" t="n"/>
      <c r="I14" s="17" t="n"/>
      <c r="J14" s="17" t="n"/>
      <c r="K14" s="17" t="n"/>
      <c r="L14" s="17" t="n"/>
      <c r="M14" s="17" t="n"/>
      <c r="N14" s="17" t="n"/>
      <c r="O14" s="17" t="n"/>
      <c r="P14" s="17" t="n"/>
      <c r="Q14" s="17" t="n"/>
      <c r="R14" s="17" t="n"/>
      <c r="S14" s="17" t="n"/>
      <c r="T14" s="17" t="n"/>
      <c r="U14" s="17" t="n"/>
      <c r="V14" s="17" t="n"/>
      <c r="W14" s="17" t="n"/>
      <c r="X14" s="17" t="n"/>
      <c r="Y14" s="17" t="n"/>
      <c r="Z14" s="17" t="n"/>
    </row>
    <row r="15" ht="43.5" customHeight="1" s="15">
      <c r="A15" s="17" t="inlineStr">
        <is>
          <t>FW-010</t>
        </is>
      </c>
      <c r="B15" s="27" t="inlineStr">
        <is>
          <t>Automated publication adapters</t>
        </is>
      </c>
      <c r="C15" s="27" t="inlineStr">
        <is>
          <t>Future enhancement</t>
        </is>
      </c>
      <c r="D15" s="27" t="inlineStr">
        <is>
          <t>Portal/channel integration agreements</t>
        </is>
      </c>
      <c r="E15" s="27" t="inlineStr">
        <is>
          <t>Planned</t>
        </is>
      </c>
      <c r="F15" s="27" t="inlineStr">
        <is>
          <t>MVP supports manual HOPF confirmation</t>
        </is>
      </c>
      <c r="G15" s="27" t="inlineStr">
        <is>
          <t>Approve per-channel adapter and acknowledgement contract.</t>
        </is>
      </c>
      <c r="H15" s="17" t="n"/>
      <c r="I15" s="17" t="n"/>
      <c r="J15" s="17" t="n"/>
      <c r="K15" s="17" t="n"/>
      <c r="L15" s="17" t="n"/>
      <c r="M15" s="17" t="n"/>
      <c r="N15" s="17" t="n"/>
      <c r="O15" s="17" t="n"/>
      <c r="P15" s="17" t="n"/>
      <c r="Q15" s="17" t="n"/>
      <c r="R15" s="17" t="n"/>
      <c r="S15" s="17" t="n"/>
      <c r="T15" s="17" t="n"/>
      <c r="U15" s="17" t="n"/>
      <c r="V15" s="17" t="n"/>
      <c r="W15" s="17" t="n"/>
      <c r="X15" s="17" t="n"/>
      <c r="Y15" s="17" t="n"/>
      <c r="Z15" s="17" t="n"/>
    </row>
    <row r="16" ht="43.5" customHeight="1" s="15">
      <c r="A16" s="17" t="inlineStr">
        <is>
          <t>FW-011</t>
        </is>
      </c>
      <c r="B16" s="27" t="inlineStr">
        <is>
          <t>Default internal read access to current Strategy</t>
        </is>
      </c>
      <c r="C16" s="27" t="inlineStr">
        <is>
          <t>Next access-policy revision</t>
        </is>
      </c>
      <c r="D16" s="27" t="inlineStr">
        <is>
          <t>STR-CHG-001 v1.8; AUTH-ADR-001 effective baseline</t>
        </is>
      </c>
      <c r="E16" s="27" t="inlineStr">
        <is>
          <t>To do</t>
        </is>
      </c>
      <c r="F16" s="27" t="inlineStr">
        <is>
          <t>Review access for enabled internal users to Active Strategy data only. Current assignment-based restrictions remain in force; no Draft, submitted review, approval-task, supplier or public access is approved by this entry.</t>
        </is>
      </c>
      <c r="G16" s="27" t="inlineStr">
        <is>
          <t>Decide baseline read policy versus per-module Reader responsibility; revise STR and AUTH through controlled versions; verify list, detail, export, API and write boundaries.</t>
        </is>
      </c>
      <c r="H16" s="17" t="n"/>
      <c r="I16" s="17" t="n"/>
      <c r="J16" s="17" t="n"/>
      <c r="K16" s="17" t="n"/>
      <c r="L16" s="17" t="n"/>
      <c r="M16" s="17" t="n"/>
      <c r="N16" s="17" t="n"/>
      <c r="O16" s="17" t="n"/>
      <c r="P16" s="17" t="n"/>
      <c r="Q16" s="17" t="n"/>
      <c r="R16" s="17" t="n"/>
      <c r="S16" s="17" t="n"/>
      <c r="T16" s="17" t="n"/>
      <c r="U16" s="17" t="n"/>
      <c r="V16" s="17" t="n"/>
      <c r="W16" s="17" t="n"/>
      <c r="X16" s="17" t="n"/>
      <c r="Y16" s="17" t="n"/>
      <c r="Z16" s="17" t="n"/>
    </row>
    <row r="17" ht="43.5" customHeight="1" s="15">
      <c r="A17" s="17" t="inlineStr">
        <is>
          <t>FW-012</t>
        </is>
      </c>
      <c r="B17" s="27" t="inlineStr">
        <is>
          <t>Production Trust, Signing and Sealed Custody support module</t>
        </is>
      </c>
      <c r="C17" s="27" t="inlineStr">
        <is>
          <t>Later support-module version</t>
        </is>
      </c>
      <c r="D17" s="27" t="inlineStr">
        <is>
          <t>TRUST-ADR-001 v0.1; licensed/accredited provider; legal L1/L2; approved government operating profile; production-equivalent tests</t>
        </is>
      </c>
      <c r="E17" s="27" t="inlineStr">
        <is>
          <t>Planned</t>
        </is>
      </c>
      <c r="F17" s="27" t="inlineStr">
        <is>
          <t>Only synthetic, explicitly labelled test proxies now. BDS v0.8 production bid submission remains disabled and electronic Bid Opening cannot be used for real bids.</t>
        </is>
      </c>
      <c r="G17" s="27" t="inlineStr">
        <is>
          <t>Approve provider/signing method, per-target legal equivalence, custody/key threshold, credentials, recovery, external channel and test/release evidence.</t>
        </is>
      </c>
      <c r="H17" s="17" t="n"/>
      <c r="I17" s="17" t="n"/>
      <c r="J17" s="17" t="n"/>
      <c r="K17" s="17" t="n"/>
      <c r="L17" s="17" t="n"/>
      <c r="M17" s="17" t="n"/>
      <c r="N17" s="17" t="n"/>
      <c r="O17" s="17" t="n"/>
      <c r="P17" s="17" t="n"/>
      <c r="Q17" s="17" t="n"/>
      <c r="R17" s="17" t="n"/>
      <c r="S17" s="17" t="n"/>
      <c r="T17" s="17" t="n"/>
      <c r="U17" s="17" t="n"/>
      <c r="V17" s="17" t="n"/>
      <c r="W17" s="17" t="n"/>
      <c r="X17" s="17" t="n"/>
      <c r="Y17" s="17" t="n"/>
      <c r="Z17" s="17" t="n"/>
    </row>
    <row r="18" ht="15" customHeight="1" s="15">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ht="15" customHeight="1" s="15">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ht="15" customHeight="1" s="15">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 customHeight="1" s="15">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 customHeight="1" s="15">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 customHeight="1" s="15">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 customHeight="1" s="15">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 customHeight="1" s="1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 customHeight="1" s="15">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 customHeight="1" s="15">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 customHeight="1" s="15">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 customHeight="1" s="15">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 customHeight="1" s="15">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 customHeight="1" s="15">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 customHeight="1" s="15">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 customHeight="1" s="15">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 customHeight="1" s="15">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 customHeight="1" s="1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 customHeight="1" s="15">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 customHeight="1" s="15">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 customHeight="1" s="15">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 customHeight="1" s="15">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 customHeight="1" s="15">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15" customHeight="1" s="15">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 customHeight="1" s="15">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 customHeight="1" s="15">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 customHeight="1" s="15">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 customHeight="1" s="1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 customHeight="1" s="15">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 customHeight="1" s="15">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 customHeight="1" s="15">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 customHeight="1" s="15">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 customHeight="1" s="15">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row>
    <row r="51" ht="15" customHeight="1" s="15">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row>
    <row r="52" ht="15" customHeight="1" s="15">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row>
    <row r="53" ht="15" customHeight="1" s="15">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row>
    <row r="54" ht="15" customHeight="1" s="15">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row>
    <row r="55" ht="15" customHeight="1" s="1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row>
    <row r="56" ht="15" customHeight="1" s="15">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row>
    <row r="57" ht="15" customHeight="1" s="15">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row>
    <row r="58" ht="15" customHeight="1" s="15">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row>
    <row r="59" ht="15" customHeight="1" s="15">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row>
    <row r="60" ht="15" customHeight="1" s="15">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row>
    <row r="61" ht="15" customHeight="1" s="15">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row>
    <row r="62" ht="15" customHeight="1" s="15">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row>
    <row r="63" ht="15" customHeight="1" s="15">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row>
    <row r="64" ht="15" customHeight="1" s="15">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row>
    <row r="65" ht="15" customHeight="1" s="15">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row>
    <row r="66" ht="15" customHeight="1" s="15">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row>
    <row r="67" ht="15" customHeight="1" s="15">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row>
    <row r="68" ht="15" customHeight="1" s="15">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row>
    <row r="69" ht="15" customHeight="1" s="15">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row>
    <row r="70" ht="15" customHeight="1" s="15">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row>
    <row r="71" ht="15" customHeight="1" s="15">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row>
    <row r="72" ht="15" customHeight="1" s="15">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row>
    <row r="73" ht="15" customHeight="1" s="15">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row>
    <row r="74" ht="15" customHeight="1" s="15">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row>
    <row r="75" ht="15" customHeight="1" s="15">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row>
    <row r="76" ht="15" customHeight="1" s="15">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row>
    <row r="77" ht="15" customHeight="1" s="15">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row>
    <row r="78" ht="15" customHeight="1" s="15">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row>
    <row r="79" ht="15" customHeight="1" s="15">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row>
    <row r="80" ht="15" customHeight="1" s="15">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row>
    <row r="81" ht="15" customHeight="1" s="15">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row>
    <row r="82" ht="15" customHeight="1" s="15">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row>
    <row r="83" ht="15" customHeight="1" s="15">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row>
    <row r="84" ht="15" customHeight="1" s="15">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row>
    <row r="85" ht="15" customHeight="1" s="15">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row>
    <row r="86" ht="15" customHeight="1" s="15">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row>
    <row r="87" ht="15" customHeight="1" s="15">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row>
    <row r="88" ht="15" customHeight="1" s="15">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row>
    <row r="89" ht="15" customHeight="1" s="15">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row>
    <row r="90" ht="15" customHeight="1" s="15">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row>
    <row r="91" ht="15" customHeight="1" s="15">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row>
    <row r="92" ht="15" customHeight="1" s="15">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row>
    <row r="93" ht="15" customHeight="1" s="15">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row>
    <row r="94" ht="15" customHeight="1" s="15">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row>
    <row r="95" ht="15" customHeight="1" s="15">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row>
    <row r="96" ht="15" customHeight="1" s="15">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row>
    <row r="97" ht="15" customHeight="1" s="15">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row>
    <row r="98" ht="15" customHeight="1" s="15">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row>
    <row r="99" ht="15" customHeight="1" s="15">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row>
    <row r="100" ht="15" customHeight="1" s="15">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row>
    <row r="101" ht="15" customHeight="1" s="15">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row>
    <row r="102" ht="15" customHeight="1" s="15">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row>
    <row r="103" ht="15" customHeight="1" s="15">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row>
    <row r="104" ht="15" customHeight="1" s="15">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row>
    <row r="105" ht="15" customHeight="1" s="15">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row>
    <row r="106" ht="15" customHeight="1" s="15">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row>
    <row r="107" ht="15" customHeight="1" s="15">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row>
    <row r="108" ht="15" customHeight="1" s="15">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row>
    <row r="109" ht="15" customHeight="1" s="15">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row>
    <row r="110" ht="15" customHeight="1" s="15">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row>
    <row r="111" ht="15" customHeight="1" s="15">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row>
    <row r="112" ht="15" customHeight="1" s="15">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row>
    <row r="113" ht="15" customHeight="1" s="15">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row>
    <row r="114" ht="15" customHeight="1" s="15">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row>
    <row r="115" ht="15" customHeight="1" s="15">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row>
    <row r="116" ht="15" customHeight="1" s="15">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row>
    <row r="117" ht="15" customHeight="1" s="15">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row>
    <row r="118" ht="15" customHeight="1" s="15">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row>
    <row r="119" ht="15" customHeight="1" s="15">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row>
    <row r="120" ht="15" customHeight="1" s="15">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row>
    <row r="121" ht="15" customHeight="1" s="15">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row>
    <row r="122" ht="15" customHeight="1" s="15">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row>
    <row r="123" ht="15" customHeight="1" s="15">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row>
    <row r="124" ht="15" customHeight="1" s="15">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row>
    <row r="125" ht="15" customHeight="1" s="15">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row>
    <row r="126" ht="15" customHeight="1" s="15">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row>
    <row r="127" ht="15" customHeight="1" s="15">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row>
    <row r="128" ht="15" customHeight="1" s="15">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row>
    <row r="129" ht="15" customHeight="1" s="15">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row>
    <row r="130" ht="15" customHeight="1" s="15">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row>
    <row r="131" ht="15" customHeight="1" s="15">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row>
    <row r="132" ht="15" customHeight="1" s="15">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row>
    <row r="133" ht="15" customHeight="1" s="15">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row>
    <row r="134" ht="15" customHeight="1" s="15">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row>
    <row r="135" ht="15" customHeight="1" s="15">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row>
    <row r="136" ht="15" customHeight="1" s="15">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row>
    <row r="137" ht="15" customHeight="1" s="15">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row>
    <row r="138" ht="15" customHeight="1" s="15">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row>
    <row r="139" ht="15" customHeight="1" s="15">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row>
    <row r="140" ht="15" customHeight="1" s="15">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row>
    <row r="141" ht="15" customHeight="1" s="15">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row>
    <row r="142" ht="15" customHeight="1" s="15">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row>
    <row r="143" ht="15" customHeight="1" s="15">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row>
    <row r="144" ht="15" customHeight="1" s="15">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row>
    <row r="145" ht="15" customHeight="1" s="15">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row>
    <row r="146" ht="15" customHeight="1" s="15">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row>
    <row r="147" ht="15" customHeight="1" s="15">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row>
    <row r="148" ht="15" customHeight="1" s="15">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row>
    <row r="149" ht="15" customHeight="1" s="15">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row>
    <row r="150" ht="15" customHeight="1" s="15">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row>
    <row r="151" ht="15" customHeight="1" s="15">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row>
    <row r="152" ht="15" customHeight="1" s="15">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row>
    <row r="153" ht="15" customHeight="1" s="15">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row>
    <row r="154" ht="15" customHeight="1" s="15">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row>
    <row r="155" ht="15" customHeight="1" s="15">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row>
    <row r="156" ht="15" customHeight="1" s="15">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row>
    <row r="157" ht="15" customHeight="1" s="15">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row>
    <row r="158" ht="15" customHeight="1" s="15">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row>
    <row r="159" ht="15" customHeight="1" s="15">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row>
    <row r="160" ht="15" customHeight="1" s="15">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row>
    <row r="161" ht="15" customHeight="1" s="15">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row>
    <row r="162" ht="15" customHeight="1" s="15">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row>
    <row r="163" ht="15" customHeight="1" s="15">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row>
    <row r="164" ht="15" customHeight="1" s="15">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row>
    <row r="165" ht="15" customHeight="1" s="15">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row>
    <row r="166" ht="15" customHeight="1" s="15">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row>
    <row r="167" ht="15" customHeight="1" s="15">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row>
    <row r="168" ht="15" customHeight="1" s="15">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row>
    <row r="169" ht="15" customHeight="1" s="15">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row>
    <row r="170" ht="15" customHeight="1" s="15">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row>
    <row r="171" ht="15" customHeight="1" s="15">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row>
    <row r="172" ht="15" customHeight="1" s="15">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row>
    <row r="173" ht="15" customHeight="1" s="15">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row>
    <row r="174" ht="15" customHeight="1" s="15">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row>
    <row r="175" ht="15" customHeight="1" s="15">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row>
    <row r="176" ht="15" customHeight="1" s="15">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row>
    <row r="177" ht="15" customHeight="1" s="15">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row>
    <row r="178" ht="15" customHeight="1" s="15">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row>
    <row r="179" ht="15" customHeight="1" s="15">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row>
    <row r="180" ht="15" customHeight="1" s="15">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row>
    <row r="181" ht="15" customHeight="1" s="15">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row>
    <row r="182" ht="15" customHeight="1" s="15">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row>
    <row r="183" ht="15" customHeight="1" s="15">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row>
    <row r="184" ht="15" customHeight="1" s="15">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row>
    <row r="185" ht="15" customHeight="1" s="15">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row>
    <row r="186" ht="15" customHeight="1" s="15">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row>
    <row r="187" ht="15" customHeight="1" s="15">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row>
    <row r="188" ht="15" customHeight="1" s="15">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row>
    <row r="189" ht="15" customHeight="1" s="15">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row>
    <row r="190" ht="15" customHeight="1" s="15">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row>
    <row r="191" ht="15" customHeight="1" s="15">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row>
    <row r="192" ht="15" customHeight="1" s="15">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row>
    <row r="193" ht="15" customHeight="1" s="15">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row>
    <row r="194" ht="15" customHeight="1" s="15">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row>
    <row r="195" ht="15" customHeight="1" s="15">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row>
    <row r="196" ht="15" customHeight="1" s="15">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row>
    <row r="197" ht="15" customHeight="1" s="15">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row>
    <row r="198" ht="15" customHeight="1" s="15">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row>
    <row r="199" ht="15" customHeight="1" s="15">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row>
    <row r="200" ht="15" customHeight="1" s="15">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row>
  </sheetData>
  <mergeCells count="2">
    <mergeCell ref="A2:G2"/>
    <mergeCell ref="A1:G1"/>
  </mergeCells>
  <conditionalFormatting sqref="E6:E17">
    <cfRule type="containsText" rank="0" priority="2" equalAverage="0" operator="containsText" aboveAverage="0" dxfId="13" text="Approved" percent="0" bottom="0">
      <formula>NOT(ISERROR(SEARCH("Approved",E6)))</formula>
    </cfRule>
    <cfRule type="containsText" rank="0" priority="3" equalAverage="0" operator="containsText" aboveAverage="0" dxfId="13" text="Passed" percent="0" bottom="0">
      <formula>NOT(ISERROR(SEARCH("Passed",E6)))</formula>
    </cfRule>
    <cfRule type="containsText" rank="0" priority="4" equalAverage="0" operator="containsText" aboveAverage="0" dxfId="13" text="Released" percent="0" bottom="0">
      <formula>NOT(ISERROR(SEARCH("Released",E6)))</formula>
    </cfRule>
    <cfRule type="containsText" rank="0" priority="5" equalAverage="0" operator="containsText" aboveAverage="0" dxfId="1" text="Project Owner review" percent="0" bottom="0">
      <formula>NOT(ISERROR(SEARCH("Project Owner review",E6)))</formula>
    </cfRule>
    <cfRule type="containsText" rank="0" priority="6" equalAverage="0" operator="containsText" aboveAverage="0" dxfId="14" text="Pending" percent="0" bottom="0">
      <formula>NOT(ISERROR(SEARCH("Pending",E6)))</formula>
    </cfRule>
    <cfRule type="containsText" rank="0" priority="7" equalAverage="0" operator="containsText" aboveAverage="0" dxfId="0" text="Blocked" percent="0" bottom="0">
      <formula>NOT(ISERROR(SEARCH("Blocked",E6)))</formula>
    </cfRule>
    <cfRule type="containsText" rank="0" priority="8" equalAverage="0" operator="containsText" aboveAverage="0" dxfId="0" text="unresolved" percent="0" bottom="0">
      <formula>NOT(ISERROR(SEARCH("unresolved",E6)))</formula>
    </cfRule>
    <cfRule type="containsText" rank="0" priority="9" equalAverage="0" operator="containsText" aboveAverage="0" dxfId="15" text="Not started" percent="0" bottom="0">
      <formula>NOT(ISERROR(SEARCH("Not started",E6)))</formula>
    </cfRule>
    <cfRule type="containsText" rank="0" priority="10" equalAverage="0" operator="containsText" aboveAverage="0" dxfId="15" text="Not evidenced" percent="0" bottom="0">
      <formula>NOT(ISERROR(SEARCH("Not evidenced",E6)))</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tabColor rgb="FF4472C4"/>
    <outlinePr summaryBelow="1" summaryRight="1"/>
    <pageSetUpPr fitToPage="0"/>
  </sheetPr>
  <dimension ref="A1:Z200"/>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14" customWidth="1" style="14" min="1" max="1"/>
    <col width="12" customWidth="1" style="14" min="2" max="2"/>
    <col width="20" customWidth="1" style="14" min="3" max="3"/>
    <col width="53" customWidth="1" style="14" min="4" max="4"/>
    <col width="14" customWidth="1" style="14" min="5" max="5"/>
    <col width="24" customWidth="1" style="14" min="6" max="6"/>
    <col width="50" customWidth="1" style="14" min="7" max="7"/>
    <col width="38" customWidth="1" style="14" min="8" max="8"/>
    <col width="42" customWidth="1" style="14" min="9" max="9"/>
  </cols>
  <sheetData>
    <row r="1" ht="37.5" customHeight="1" s="15">
      <c r="A1" s="16" t="inlineStr">
        <is>
          <t>Control findings</t>
        </is>
      </c>
      <c r="J1" s="17" t="n"/>
      <c r="K1" s="17" t="n"/>
      <c r="L1" s="17" t="n"/>
      <c r="M1" s="17" t="n"/>
      <c r="N1" s="17" t="n"/>
      <c r="O1" s="17" t="n"/>
      <c r="P1" s="17" t="n"/>
      <c r="Q1" s="17" t="n"/>
      <c r="R1" s="17" t="n"/>
      <c r="S1" s="17" t="n"/>
      <c r="T1" s="17" t="n"/>
      <c r="U1" s="17" t="n"/>
      <c r="V1" s="17" t="n"/>
      <c r="W1" s="17" t="n"/>
      <c r="X1" s="17" t="n"/>
      <c r="Y1" s="17" t="n"/>
      <c r="Z1" s="17" t="n"/>
    </row>
    <row r="2" ht="33.75" customHeight="1" s="15">
      <c r="A2" s="18" t="inlineStr">
        <is>
          <t>Terminal review register. Findings inform action and release decisions but do not feed business calculations elsewhere in the workbook.</t>
        </is>
      </c>
      <c r="J2" s="17" t="n"/>
      <c r="K2" s="17" t="n"/>
      <c r="L2" s="17" t="n"/>
      <c r="M2" s="17" t="n"/>
      <c r="N2" s="17" t="n"/>
      <c r="O2" s="17" t="n"/>
      <c r="P2" s="17" t="n"/>
      <c r="Q2" s="17" t="n"/>
      <c r="R2" s="17" t="n"/>
      <c r="S2" s="17" t="n"/>
      <c r="T2" s="17" t="n"/>
      <c r="U2" s="17" t="n"/>
      <c r="V2" s="17" t="n"/>
      <c r="W2" s="17" t="n"/>
      <c r="X2" s="17" t="n"/>
      <c r="Y2" s="17" t="n"/>
      <c r="Z2" s="17" t="n"/>
    </row>
    <row r="3" ht="15" customHeight="1" s="15">
      <c r="A3" s="17" t="n"/>
      <c r="B3" s="17" t="n"/>
      <c r="C3" s="17" t="n"/>
      <c r="D3" s="17" t="n"/>
      <c r="E3" s="17" t="n"/>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ht="15" customHeight="1" s="15">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row>
    <row r="5" ht="36" customHeight="1" s="15">
      <c r="A5" s="32" t="inlineStr">
        <is>
          <t>Finding ID</t>
        </is>
      </c>
      <c r="B5" s="32" t="inlineStr">
        <is>
          <t>Severity</t>
        </is>
      </c>
      <c r="C5" s="32" t="inlineStr">
        <is>
          <t>Type</t>
        </is>
      </c>
      <c r="D5" s="32" t="inlineStr">
        <is>
          <t>Finding</t>
        </is>
      </c>
      <c r="E5" s="32" t="inlineStr">
        <is>
          <t>Status</t>
        </is>
      </c>
      <c r="F5" s="32" t="inlineStr">
        <is>
          <t>Owner</t>
        </is>
      </c>
      <c r="G5" s="32" t="inlineStr">
        <is>
          <t>Required action</t>
        </is>
      </c>
      <c r="H5" s="32" t="inlineStr">
        <is>
          <t>Blocks</t>
        </is>
      </c>
      <c r="I5" s="32" t="inlineStr">
        <is>
          <t>Evidence</t>
        </is>
      </c>
      <c r="J5" s="17" t="n"/>
      <c r="K5" s="17" t="n"/>
      <c r="L5" s="17" t="n"/>
      <c r="M5" s="17" t="n"/>
      <c r="N5" s="17" t="n"/>
      <c r="O5" s="17" t="n"/>
      <c r="P5" s="17" t="n"/>
      <c r="Q5" s="17" t="n"/>
      <c r="R5" s="17" t="n"/>
      <c r="S5" s="17" t="n"/>
      <c r="T5" s="17" t="n"/>
      <c r="U5" s="17" t="n"/>
      <c r="V5" s="17" t="n"/>
      <c r="W5" s="17" t="n"/>
      <c r="X5" s="17" t="n"/>
      <c r="Y5" s="17" t="n"/>
      <c r="Z5" s="17" t="n"/>
    </row>
    <row r="6" ht="43.5" customHeight="1" s="15">
      <c r="A6" s="17" t="inlineStr">
        <is>
          <t>AUD-001</t>
        </is>
      </c>
      <c r="B6" s="17" t="inlineStr">
        <is>
          <t>High</t>
        </is>
      </c>
      <c r="C6" s="27" t="inlineStr">
        <is>
          <t>Approval</t>
        </is>
      </c>
      <c r="D6" s="27" t="inlineStr">
        <is>
          <t>CFG-CHG-002 v0.16 is the current successor but remains proposed.</t>
        </is>
      </c>
      <c r="E6" s="27" t="inlineStr">
        <is>
          <t>Closed</t>
        </is>
      </c>
      <c r="F6" s="27" t="inlineStr">
        <is>
          <t>Project Owner</t>
        </is>
      </c>
      <c r="G6" s="27" t="inlineStr">
        <is>
          <t>Project Owner approved the current document on 1 October 2026. Implementation and verification remain separately tracked.</t>
        </is>
      </c>
      <c r="H6" s="27" t="inlineStr">
        <is>
          <t>None — document approval recorded</t>
        </is>
      </c>
      <c r="I6" s="27" t="inlineStr">
        <is>
          <t>CFG-CHG-002 v0.16 control block; Project Owner instruction 1 October 2026</t>
        </is>
      </c>
      <c r="J6" s="17" t="n"/>
      <c r="K6" s="17" t="n"/>
      <c r="L6" s="17" t="n"/>
      <c r="M6" s="17" t="n"/>
      <c r="N6" s="17" t="n"/>
      <c r="O6" s="17" t="n"/>
      <c r="P6" s="17" t="n"/>
      <c r="Q6" s="17" t="n"/>
      <c r="R6" s="17" t="n"/>
      <c r="S6" s="17" t="n"/>
      <c r="T6" s="17" t="n"/>
      <c r="U6" s="17" t="n"/>
      <c r="V6" s="17" t="n"/>
      <c r="W6" s="17" t="n"/>
      <c r="X6" s="17" t="n"/>
      <c r="Y6" s="17" t="n"/>
      <c r="Z6" s="17" t="n"/>
    </row>
    <row r="7" ht="43.5" customHeight="1" s="15">
      <c r="A7" s="17" t="inlineStr">
        <is>
          <t>AUD-002</t>
        </is>
      </c>
      <c r="B7" s="17" t="inlineStr">
        <is>
          <t>High</t>
        </is>
      </c>
      <c r="C7" s="27" t="inlineStr">
        <is>
          <t>Approval</t>
        </is>
      </c>
      <c r="D7" s="27" t="inlineStr">
        <is>
          <t>TPR-CHG-001 v0.12 approved on 26 September 2026; v0.11 was proposed and never approved.</t>
        </is>
      </c>
      <c r="E7" s="27" t="inlineStr">
        <is>
          <t>Closed</t>
        </is>
      </c>
      <c r="F7" s="27" t="inlineStr">
        <is>
          <t>Project Owner</t>
        </is>
      </c>
      <c r="G7" s="27" t="inlineStr">
        <is>
          <t>No approval action remains; implementation and verification are tracked separately.</t>
        </is>
      </c>
      <c r="H7" s="27" t="inlineStr">
        <is>
          <t>Authoritative Tender implementation baseline</t>
        </is>
      </c>
      <c r="I7" s="27" t="inlineStr">
        <is>
          <t>TPR-CHG-001 v0.12 approval control block</t>
        </is>
      </c>
      <c r="J7" s="17" t="n"/>
      <c r="K7" s="17" t="n"/>
      <c r="L7" s="17" t="n"/>
      <c r="M7" s="17" t="n"/>
      <c r="N7" s="17" t="n"/>
      <c r="O7" s="17" t="n"/>
      <c r="P7" s="17" t="n"/>
      <c r="Q7" s="17" t="n"/>
      <c r="R7" s="17" t="n"/>
      <c r="S7" s="17" t="n"/>
      <c r="T7" s="17" t="n"/>
      <c r="U7" s="17" t="n"/>
      <c r="V7" s="17" t="n"/>
      <c r="W7" s="17" t="n"/>
      <c r="X7" s="17" t="n"/>
      <c r="Y7" s="17" t="n"/>
      <c r="Z7" s="17" t="n"/>
    </row>
    <row r="8" ht="43.5" customHeight="1" s="15">
      <c r="A8" s="17" t="inlineStr">
        <is>
          <t>AUD-003</t>
        </is>
      </c>
      <c r="B8" s="17" t="inlineStr">
        <is>
          <t>High</t>
        </is>
      </c>
      <c r="C8" s="27" t="inlineStr">
        <is>
          <t>Approval</t>
        </is>
      </c>
      <c r="D8" s="27" t="inlineStr">
        <is>
          <t>BDS-CHG-001 v0.8 approved on 26 September 2026; v0.7 was never approved.</t>
        </is>
      </c>
      <c r="E8" s="27" t="inlineStr">
        <is>
          <t>Closed</t>
        </is>
      </c>
      <c r="F8" s="27" t="inlineStr">
        <is>
          <t>Project Owner</t>
        </is>
      </c>
      <c r="G8" s="27" t="inlineStr">
        <is>
          <t>No further requirement approval for v0.8; retain separate TPR v0.13 dependency and production operating gates.</t>
        </is>
      </c>
      <c r="H8" s="27" t="inlineStr">
        <is>
          <t>None—requirements approval recorded</t>
        </is>
      </c>
      <c r="I8" s="27" t="inlineStr">
        <is>
          <t>BDS-CHG-001 v0.8 approval record</t>
        </is>
      </c>
      <c r="J8" s="17" t="n"/>
      <c r="K8" s="17" t="n"/>
      <c r="L8" s="17" t="n"/>
      <c r="M8" s="17" t="n"/>
      <c r="N8" s="17" t="n"/>
      <c r="O8" s="17" t="n"/>
      <c r="P8" s="17" t="n"/>
      <c r="Q8" s="17" t="n"/>
      <c r="R8" s="17" t="n"/>
      <c r="S8" s="17" t="n"/>
      <c r="T8" s="17" t="n"/>
      <c r="U8" s="17" t="n"/>
      <c r="V8" s="17" t="n"/>
      <c r="W8" s="17" t="n"/>
      <c r="X8" s="17" t="n"/>
      <c r="Y8" s="17" t="n"/>
      <c r="Z8" s="17" t="n"/>
    </row>
    <row r="9" ht="43.5" customHeight="1" s="15">
      <c r="A9" s="17" t="inlineStr">
        <is>
          <t>AUD-004</t>
        </is>
      </c>
      <c r="B9" s="17" t="inlineStr">
        <is>
          <t>High</t>
        </is>
      </c>
      <c r="C9" s="27" t="inlineStr">
        <is>
          <t>Approval</t>
        </is>
      </c>
      <c r="D9" s="27" t="inlineStr">
        <is>
          <t>STD-TPL-001 v0.10 was approved by the Project Owner on 26 September 2026.</t>
        </is>
      </c>
      <c r="E9" s="27" t="inlineStr">
        <is>
          <t>Resolved</t>
        </is>
      </c>
      <c r="F9" s="27" t="inlineStr">
        <is>
          <t>Project Owner</t>
        </is>
      </c>
      <c r="G9" s="27" t="inlineStr">
        <is>
          <t>No further document-approval action.</t>
        </is>
      </c>
      <c r="H9" s="27" t="inlineStr">
        <is>
          <t>None</t>
        </is>
      </c>
      <c r="I9" s="27" t="inlineStr">
        <is>
          <t>STD-TPL-001 v0.10 approval block, 26 September 2026</t>
        </is>
      </c>
      <c r="J9" s="17" t="n"/>
      <c r="K9" s="17" t="n"/>
      <c r="L9" s="17" t="n"/>
      <c r="M9" s="17" t="n"/>
      <c r="N9" s="17" t="n"/>
      <c r="O9" s="17" t="n"/>
      <c r="P9" s="17" t="n"/>
      <c r="Q9" s="17" t="n"/>
      <c r="R9" s="17" t="n"/>
      <c r="S9" s="17" t="n"/>
      <c r="T9" s="17" t="n"/>
      <c r="U9" s="17" t="n"/>
      <c r="V9" s="17" t="n"/>
      <c r="W9" s="17" t="n"/>
      <c r="X9" s="17" t="n"/>
      <c r="Y9" s="17" t="n"/>
      <c r="Z9" s="17" t="n"/>
    </row>
    <row r="10" ht="43.5" customHeight="1" s="15">
      <c r="A10" s="17" t="inlineStr">
        <is>
          <t>AUD-005</t>
        </is>
      </c>
      <c r="B10" s="17" t="inlineStr">
        <is>
          <t>High</t>
        </is>
      </c>
      <c r="C10" s="27" t="inlineStr">
        <is>
          <t>Approval</t>
        </is>
      </c>
      <c r="D10" s="27" t="inlineStr">
        <is>
          <t>G1-REG-001 v1.1 implementation handoff remains proposed.</t>
        </is>
      </c>
      <c r="E10" s="27" t="inlineStr">
        <is>
          <t>Closed</t>
        </is>
      </c>
      <c r="F10" s="27" t="inlineStr">
        <is>
          <t>Project Owner</t>
        </is>
      </c>
      <c r="G10" s="27" t="inlineStr">
        <is>
          <t>Project Owner approved the current document on 1 October 2026. Implementation and verification remain separately tracked.</t>
        </is>
      </c>
      <c r="H10" s="27" t="inlineStr">
        <is>
          <t>None — document approval recorded</t>
        </is>
      </c>
      <c r="I10" s="27" t="inlineStr">
        <is>
          <t>G1-REG-001 v1.1 control block; Project Owner instruction 1 October 2026</t>
        </is>
      </c>
      <c r="J10" s="17" t="n"/>
      <c r="K10" s="17" t="n"/>
      <c r="L10" s="17" t="n"/>
      <c r="M10" s="17" t="n"/>
      <c r="N10" s="17" t="n"/>
      <c r="O10" s="17" t="n"/>
      <c r="P10" s="17" t="n"/>
      <c r="Q10" s="17" t="n"/>
      <c r="R10" s="17" t="n"/>
      <c r="S10" s="17" t="n"/>
      <c r="T10" s="17" t="n"/>
      <c r="U10" s="17" t="n"/>
      <c r="V10" s="17" t="n"/>
      <c r="W10" s="17" t="n"/>
      <c r="X10" s="17" t="n"/>
      <c r="Y10" s="17" t="n"/>
      <c r="Z10" s="17" t="n"/>
    </row>
    <row r="11" ht="43.5" customHeight="1" s="15">
      <c r="A11" s="17" t="inlineStr">
        <is>
          <t>AUD-006</t>
        </is>
      </c>
      <c r="B11" s="17" t="inlineStr">
        <is>
          <t>Critical</t>
        </is>
      </c>
      <c r="C11" s="27" t="inlineStr">
        <is>
          <t>Bundle readiness</t>
        </is>
      </c>
      <c r="D11" s="27" t="inlineStr">
        <is>
          <t>The earlier IT Equipment candidate ZIP has not been reconciled and installed as a verified release under amended STD-TPL-001 v0.10.</t>
        </is>
      </c>
      <c r="E11" s="27" t="inlineStr">
        <is>
          <t>Open</t>
        </is>
      </c>
      <c r="F11" s="27" t="inlineStr">
        <is>
          <t>Controlled release owner</t>
        </is>
      </c>
      <c r="G11" s="27" t="inlineStr">
        <is>
          <t>Rebuild and verify the bundle; install with matching assets and renderer, then Administrator may turn it On.</t>
        </is>
      </c>
      <c r="H11" s="27" t="inlineStr">
        <is>
          <t>Tender publication and production Bid Submission</t>
        </is>
      </c>
      <c r="I11" s="27" t="inlineStr">
        <is>
          <t>STD-TPL-001 v0.10 in-version amendment; FU-01 OD5; earlier candidate ZIP</t>
        </is>
      </c>
      <c r="J11" s="17" t="n"/>
      <c r="K11" s="17" t="n"/>
      <c r="L11" s="17" t="n"/>
      <c r="M11" s="17" t="n"/>
      <c r="N11" s="17" t="n"/>
      <c r="O11" s="17" t="n"/>
      <c r="P11" s="17" t="n"/>
      <c r="Q11" s="17" t="n"/>
      <c r="R11" s="17" t="n"/>
      <c r="S11" s="17" t="n"/>
      <c r="T11" s="17" t="n"/>
      <c r="U11" s="17" t="n"/>
      <c r="V11" s="17" t="n"/>
      <c r="W11" s="17" t="n"/>
      <c r="X11" s="17" t="n"/>
      <c r="Y11" s="17" t="n"/>
      <c r="Z11" s="17" t="n"/>
    </row>
    <row r="12" ht="43.5" customHeight="1" s="15">
      <c r="A12" s="17" t="inlineStr">
        <is>
          <t>AUD-007</t>
        </is>
      </c>
      <c r="B12" s="17" t="inlineStr">
        <is>
          <t>Critical</t>
        </is>
      </c>
      <c r="C12" s="27" t="inlineStr">
        <is>
          <t>Operating gate</t>
        </is>
      </c>
      <c r="D12" s="27" t="inlineStr">
        <is>
          <t>Production electronic submission operating profile is not yet approved.</t>
        </is>
      </c>
      <c r="E12" s="27" t="inlineStr">
        <is>
          <t>Open</t>
        </is>
      </c>
      <c r="F12" s="27" t="inlineStr">
        <is>
          <t>Project Owner / Operations</t>
        </is>
      </c>
      <c r="G12" s="27" t="inlineStr">
        <is>
          <t>Approve support, monitoring, recovery, authority and incident arrangements; then enable the deployment flag.</t>
        </is>
      </c>
      <c r="H12" s="27" t="inlineStr">
        <is>
          <t>Production submission</t>
        </is>
      </c>
      <c r="I12" s="27" t="inlineStr">
        <is>
          <t>BDS-CHG-001 v0.8; G1-REG-001 v1.1</t>
        </is>
      </c>
      <c r="J12" s="17" t="n"/>
      <c r="K12" s="17" t="n"/>
      <c r="L12" s="17" t="n"/>
      <c r="M12" s="17" t="n"/>
      <c r="N12" s="17" t="n"/>
      <c r="O12" s="17" t="n"/>
      <c r="P12" s="17" t="n"/>
      <c r="Q12" s="17" t="n"/>
      <c r="R12" s="17" t="n"/>
      <c r="S12" s="17" t="n"/>
      <c r="T12" s="17" t="n"/>
      <c r="U12" s="17" t="n"/>
      <c r="V12" s="17" t="n"/>
      <c r="W12" s="17" t="n"/>
      <c r="X12" s="17" t="n"/>
      <c r="Y12" s="17" t="n"/>
      <c r="Z12" s="17" t="n"/>
    </row>
    <row r="13" ht="43.5" customHeight="1" s="15">
      <c r="A13" s="17" t="inlineStr">
        <is>
          <t>AUD-008</t>
        </is>
      </c>
      <c r="B13" s="17" t="inlineStr">
        <is>
          <t>High</t>
        </is>
      </c>
      <c r="C13" s="27" t="inlineStr">
        <is>
          <t>Reconciliation</t>
        </is>
      </c>
      <c r="D13" s="27" t="inlineStr">
        <is>
          <t>SEED-001 v1.3 predates the final reservation, Gate 1 public/vendor and approved workflow-guidance changes in PLN v1.27, BUD v1.11, REQ v1.12 and KT-STD v1.8.</t>
        </is>
      </c>
      <c r="E13" s="27" t="inlineStr">
        <is>
          <t>Open</t>
        </is>
      </c>
      <c r="F13" s="27" t="inlineStr">
        <is>
          <t>Requirements owner</t>
        </is>
      </c>
      <c r="G13" s="27" t="inlineStr">
        <is>
          <t>Issue a reconciled fixture version before integrated verification. Also state that the canonical seed covers every module stage as it is built (DEC-028), replacing v1.3 §5.2's "No opening/evaluation/award actual generated by this seed". Carry forward SEED-OPS §11 decisions D1–D4, D7–D8 and D19–D20 into their named document successors. Keep unresolved D5–D6 and D9–D18 open; KT-STD v1.13 is approved; remaining fixture amendments stay open. Generated references are authoritative under DEC-027; static examples must not become alternate seeded tenders. Also tell the four-bid canonical story (DEC-038).</t>
        </is>
      </c>
      <c r="H13" s="27" t="inlineStr">
        <is>
          <t>Reliable end-to-end seed tests</t>
        </is>
      </c>
      <c r="I13" s="27" t="inlineStr">
        <is>
          <t>SEED-001 v1.3 compared with current baseline</t>
        </is>
      </c>
      <c r="J13" s="17" t="n"/>
      <c r="K13" s="17" t="n"/>
      <c r="L13" s="17" t="n"/>
      <c r="M13" s="17" t="n"/>
      <c r="N13" s="17" t="n"/>
      <c r="O13" s="17" t="n"/>
      <c r="P13" s="17" t="n"/>
      <c r="Q13" s="17" t="n"/>
      <c r="R13" s="17" t="n"/>
      <c r="S13" s="17" t="n"/>
      <c r="T13" s="17" t="n"/>
      <c r="U13" s="17" t="n"/>
      <c r="V13" s="17" t="n"/>
      <c r="W13" s="17" t="n"/>
      <c r="X13" s="17" t="n"/>
      <c r="Y13" s="17" t="n"/>
      <c r="Z13" s="17" t="n"/>
    </row>
    <row r="14" ht="43.5" customHeight="1" s="15">
      <c r="A14" s="17" t="inlineStr">
        <is>
          <t>AUD-009</t>
        </is>
      </c>
      <c r="B14" s="17" t="inlineStr">
        <is>
          <t>Medium</t>
        </is>
      </c>
      <c r="C14" s="27" t="inlineStr">
        <is>
          <t>Stale reference</t>
        </is>
      </c>
      <c r="D14" s="27" t="inlineStr">
        <is>
          <t>RES-IMP-001 v1.0 predates the current PLN v1.27, BUD v1.11, REQ v1.12, TPR v0.11, STD-TPL v0.10 and BDS v0.7 baseline.</t>
        </is>
      </c>
      <c r="E14" s="27" t="inlineStr">
        <is>
          <t>Open</t>
        </is>
      </c>
      <c r="F14" s="27" t="inlineStr">
        <is>
          <t>Requirements owner</t>
        </is>
      </c>
      <c r="G14" s="27" t="inlineStr">
        <is>
          <t>Refresh document references without changing the approved legal decision.</t>
        </is>
      </c>
      <c r="H14" s="27" t="inlineStr">
        <is>
          <t>Clean reservation implementation handoff</t>
        </is>
      </c>
      <c r="I14" s="27" t="inlineStr">
        <is>
          <t>RES-IMP-001 v1.0 references</t>
        </is>
      </c>
      <c r="J14" s="17" t="n"/>
      <c r="K14" s="17" t="n"/>
      <c r="L14" s="17" t="n"/>
      <c r="M14" s="17" t="n"/>
      <c r="N14" s="17" t="n"/>
      <c r="O14" s="17" t="n"/>
      <c r="P14" s="17" t="n"/>
      <c r="Q14" s="17" t="n"/>
      <c r="R14" s="17" t="n"/>
      <c r="S14" s="17" t="n"/>
      <c r="T14" s="17" t="n"/>
      <c r="U14" s="17" t="n"/>
      <c r="V14" s="17" t="n"/>
      <c r="W14" s="17" t="n"/>
      <c r="X14" s="17" t="n"/>
      <c r="Y14" s="17" t="n"/>
      <c r="Z14" s="17" t="n"/>
    </row>
    <row r="15" ht="43.5" customHeight="1" s="15">
      <c r="A15" s="17" t="inlineStr">
        <is>
          <t>AUD-010</t>
        </is>
      </c>
      <c r="B15" s="17" t="inlineStr">
        <is>
          <t>High</t>
        </is>
      </c>
      <c r="C15" s="27" t="inlineStr">
        <is>
          <t>Missing controlled file</t>
        </is>
      </c>
      <c r="D15" s="27" t="inlineStr">
        <is>
          <t>STD-STD-001 v1.1 is referenced but the exact controlled file was not resolved in the admitted set.</t>
        </is>
      </c>
      <c r="E15" s="27" t="inlineStr">
        <is>
          <t>Open</t>
        </is>
      </c>
      <c r="F15" s="27" t="inlineStr">
        <is>
          <t>Documentation owner</t>
        </is>
      </c>
      <c r="G15" s="27" t="inlineStr">
        <is>
          <t>Locate or admit the exact version and record its authority.</t>
        </is>
      </c>
      <c r="H15" s="27" t="inlineStr">
        <is>
          <t>Complete template/tender/bid traceability</t>
        </is>
      </c>
      <c r="I15" s="27" t="inlineStr">
        <is>
          <t>References in current controlled documents</t>
        </is>
      </c>
      <c r="J15" s="17" t="n"/>
      <c r="K15" s="17" t="n"/>
      <c r="L15" s="17" t="n"/>
      <c r="M15" s="17" t="n"/>
      <c r="N15" s="17" t="n"/>
      <c r="O15" s="17" t="n"/>
      <c r="P15" s="17" t="n"/>
      <c r="Q15" s="17" t="n"/>
      <c r="R15" s="17" t="n"/>
      <c r="S15" s="17" t="n"/>
      <c r="T15" s="17" t="n"/>
      <c r="U15" s="17" t="n"/>
      <c r="V15" s="17" t="n"/>
      <c r="W15" s="17" t="n"/>
      <c r="X15" s="17" t="n"/>
      <c r="Y15" s="17" t="n"/>
      <c r="Z15" s="17" t="n"/>
    </row>
    <row r="16" ht="43.5" customHeight="1" s="15">
      <c r="A16" s="17" t="inlineStr">
        <is>
          <t>AUD-011</t>
        </is>
      </c>
      <c r="B16" s="17" t="inlineStr">
        <is>
          <t>High</t>
        </is>
      </c>
      <c r="C16" s="27" t="inlineStr">
        <is>
          <t>Missing controlled file</t>
        </is>
      </c>
      <c r="D16" s="27" t="inlineStr">
        <is>
          <t>STD-ST-001 v0.5 is referenced but the exact controlled file was not resolved in the admitted set.</t>
        </is>
      </c>
      <c r="E16" s="27" t="inlineStr">
        <is>
          <t>Resolved</t>
        </is>
      </c>
      <c r="F16" s="27" t="inlineStr">
        <is>
          <t>Documentation owner</t>
        </is>
      </c>
      <c r="G16" s="27" t="inlineStr">
        <is>
          <t>Exact v0.5 file supplied 2 October 2026 and recorded in the STD-ST-001 entry; library admission and file ID remain for the documentation owner. (Before 2 October 2026 read: Locate or admit the exact version before integrated stress testing.)</t>
        </is>
      </c>
      <c r="H16" s="27" t="inlineStr">
        <is>
          <t>None for file resolution; see AUD-023 for its approval-effect condition. (Before 2 October 2026 read: Gate 1 integrated verification)</t>
        </is>
      </c>
      <c r="I16" s="27" t="inlineStr">
        <is>
          <t>References in current controlled documents; KenTender_STD-ST-001_STD-ADR-002_Manual_End-to-End_Stress_Test_v0_5.md control table: Version 0.5, Status Approved, Approved on 11 September 2026</t>
        </is>
      </c>
      <c r="J16" s="17" t="n"/>
      <c r="K16" s="17" t="n"/>
      <c r="L16" s="17" t="n"/>
      <c r="M16" s="17" t="n"/>
      <c r="N16" s="17" t="n"/>
      <c r="O16" s="17" t="n"/>
      <c r="P16" s="17" t="n"/>
      <c r="Q16" s="17" t="n"/>
      <c r="R16" s="17" t="n"/>
      <c r="S16" s="17" t="n"/>
      <c r="T16" s="17" t="n"/>
      <c r="U16" s="17" t="n"/>
      <c r="V16" s="17" t="n"/>
      <c r="W16" s="17" t="n"/>
      <c r="X16" s="17" t="n"/>
      <c r="Y16" s="17" t="n"/>
      <c r="Z16" s="17" t="n"/>
    </row>
    <row r="17" ht="43.5" customHeight="1" s="15">
      <c r="A17" s="17" t="inlineStr">
        <is>
          <t>AUD-012</t>
        </is>
      </c>
      <c r="B17" s="17" t="inlineStr">
        <is>
          <t>Info</t>
        </is>
      </c>
      <c r="C17" s="27" t="inlineStr">
        <is>
          <t>Scope boundary</t>
        </is>
      </c>
      <c r="D17" s="27" t="inlineStr">
        <is>
          <t>Roadmap capabilities beyond sealed Bid Submission are deliberately retained as future work.</t>
        </is>
      </c>
      <c r="E17" s="27" t="inlineStr">
        <is>
          <t>Controlled</t>
        </is>
      </c>
      <c r="F17" s="27" t="inlineStr">
        <is>
          <t>Programme owner</t>
        </is>
      </c>
      <c r="G17" s="27" t="inlineStr">
        <is>
          <t>Create separate change units when each future capability is authorised.</t>
        </is>
      </c>
      <c r="H17" s="27" t="inlineStr">
        <is>
          <t>Nothing in Gate 1</t>
        </is>
      </c>
      <c r="I17" s="27" t="inlineStr">
        <is>
          <t>KT-RCA-001 v1.1; G1-REG-001 v1.1</t>
        </is>
      </c>
      <c r="J17" s="17" t="n"/>
      <c r="K17" s="17" t="n"/>
      <c r="L17" s="17" t="n"/>
      <c r="M17" s="17" t="n"/>
      <c r="N17" s="17" t="n"/>
      <c r="O17" s="17" t="n"/>
      <c r="P17" s="17" t="n"/>
      <c r="Q17" s="17" t="n"/>
      <c r="R17" s="17" t="n"/>
      <c r="S17" s="17" t="n"/>
      <c r="T17" s="17" t="n"/>
      <c r="U17" s="17" t="n"/>
      <c r="V17" s="17" t="n"/>
      <c r="W17" s="17" t="n"/>
      <c r="X17" s="17" t="n"/>
      <c r="Y17" s="17" t="n"/>
      <c r="Z17" s="17" t="n"/>
    </row>
    <row r="18" ht="43.5" customHeight="1" s="15">
      <c r="A18" s="17" t="inlineStr">
        <is>
          <t>AUD-013</t>
        </is>
      </c>
      <c r="B18" s="17" t="inlineStr">
        <is>
          <t>High</t>
        </is>
      </c>
      <c r="C18" s="27" t="inlineStr">
        <is>
          <t>Cross-module adoption</t>
        </is>
      </c>
      <c r="D18" s="27" t="inlineStr">
        <is>
          <t>KT-STD-001 v1.9 is approved, but complete implementation evidence for its next-step, guard-reason, hand-off, My Work, Home and no-dead-end contracts does not yet exist across the active modules.</t>
        </is>
      </c>
      <c r="E18" s="27" t="inlineStr">
        <is>
          <t>Open</t>
        </is>
      </c>
      <c r="F18" s="27" t="inlineStr">
        <is>
          <t>Requirements and implementation owners</t>
        </is>
      </c>
      <c r="G18" s="27" t="inlineStr">
        <is>
          <t>Adopt the shared contract in each active module and run persona/state conformance tests.</t>
        </is>
      </c>
      <c r="H18" s="27" t="inlineStr">
        <is>
          <t>Usability-complete Gate 1 verification</t>
        </is>
      </c>
      <c r="I18" s="27" t="inlineStr">
        <is>
          <t>KT-STD-001 v1.9; PLN-CHG-001 v1.27; Workflow Guidance Standard</t>
        </is>
      </c>
      <c r="J18" s="17" t="n"/>
      <c r="K18" s="17" t="n"/>
      <c r="L18" s="17" t="n"/>
      <c r="M18" s="17" t="n"/>
      <c r="N18" s="17" t="n"/>
      <c r="O18" s="17" t="n"/>
      <c r="P18" s="17" t="n"/>
      <c r="Q18" s="17" t="n"/>
      <c r="R18" s="17" t="n"/>
      <c r="S18" s="17" t="n"/>
      <c r="T18" s="17" t="n"/>
      <c r="U18" s="17" t="n"/>
      <c r="V18" s="17" t="n"/>
      <c r="W18" s="17" t="n"/>
      <c r="X18" s="17" t="n"/>
      <c r="Y18" s="17" t="n"/>
      <c r="Z18" s="17" t="n"/>
    </row>
    <row r="19" ht="43.5" customHeight="1" s="15">
      <c r="A19" s="17" t="inlineStr">
        <is>
          <t>AUD-014</t>
        </is>
      </c>
      <c r="B19" s="17" t="inlineStr">
        <is>
          <t>High</t>
        </is>
      </c>
      <c r="C19" s="27" t="inlineStr">
        <is>
          <t>Implementation handoff</t>
        </is>
      </c>
      <c r="D19" s="27" t="inlineStr">
        <is>
          <t>G1-REG-001 v1.1 now reconciles PLN v1.27, BUD v1.11, REQ v1.12 and the STD runtime closure, but SEED-001 v1.3 still predates them.</t>
        </is>
      </c>
      <c r="E19" s="27" t="inlineStr">
        <is>
          <t>Open</t>
        </is>
      </c>
      <c r="F19" s="27" t="inlineStr">
        <is>
          <t>Requirements owner</t>
        </is>
      </c>
      <c r="G19" s="27" t="inlineStr">
        <is>
          <t>Issue a controlled SEED successor before integrated implementation verification.</t>
        </is>
      </c>
      <c r="H19" s="27" t="inlineStr">
        <is>
          <t>One reproducible end-to-end test baseline</t>
        </is>
      </c>
      <c r="I19" s="27" t="inlineStr">
        <is>
          <t>G1-REG-001 v1.1; SEED-001 v1.3 compared with current baseline</t>
        </is>
      </c>
      <c r="J19" s="17" t="n"/>
      <c r="K19" s="17" t="n"/>
      <c r="L19" s="17" t="n"/>
      <c r="M19" s="17" t="n"/>
      <c r="N19" s="17" t="n"/>
      <c r="O19" s="17" t="n"/>
      <c r="P19" s="17" t="n"/>
      <c r="Q19" s="17" t="n"/>
      <c r="R19" s="17" t="n"/>
      <c r="S19" s="17" t="n"/>
      <c r="T19" s="17" t="n"/>
      <c r="U19" s="17" t="n"/>
      <c r="V19" s="17" t="n"/>
      <c r="W19" s="17" t="n"/>
      <c r="X19" s="17" t="n"/>
      <c r="Y19" s="17" t="n"/>
      <c r="Z19" s="17" t="n"/>
    </row>
    <row r="20" ht="43.5" customHeight="1" s="15">
      <c r="A20" s="17" t="inlineStr">
        <is>
          <t>AUD-015</t>
        </is>
      </c>
      <c r="B20" s="17" t="inlineStr">
        <is>
          <t>High</t>
        </is>
      </c>
      <c r="C20" s="27" t="inlineStr">
        <is>
          <t>Approval</t>
        </is>
      </c>
      <c r="D20" s="27" t="inlineStr">
        <is>
          <t>STD-TPL-IMP-001 v1.1 was approved by the Project Owner on 26 September 2026; v1.0 was never approved.</t>
        </is>
      </c>
      <c r="E20" s="27" t="inlineStr">
        <is>
          <t>Resolved</t>
        </is>
      </c>
      <c r="F20" s="27" t="inlineStr">
        <is>
          <t>Project Owner</t>
        </is>
      </c>
      <c r="G20" s="27" t="inlineStr">
        <is>
          <t>Implement v1.1 and reconcile named consumer documents to OD5.</t>
        </is>
      </c>
      <c r="H20" s="27" t="inlineStr">
        <is>
          <t>None for implementation authority; consumer reconciliation remains</t>
        </is>
      </c>
      <c r="I20" s="27" t="inlineStr">
        <is>
          <t>STD-TPL-IMP-001 v1.1 approval block; Project Owner instruction 26 September 2026</t>
        </is>
      </c>
      <c r="J20" s="17" t="n"/>
      <c r="K20" s="17" t="n"/>
      <c r="L20" s="17" t="n"/>
      <c r="M20" s="17" t="n"/>
      <c r="N20" s="17" t="n"/>
      <c r="O20" s="17" t="n"/>
      <c r="P20" s="17" t="n"/>
      <c r="Q20" s="17" t="n"/>
      <c r="R20" s="17" t="n"/>
      <c r="S20" s="17" t="n"/>
      <c r="T20" s="17" t="n"/>
      <c r="U20" s="17" t="n"/>
      <c r="V20" s="17" t="n"/>
      <c r="W20" s="17" t="n"/>
      <c r="X20" s="17" t="n"/>
      <c r="Y20" s="17" t="n"/>
      <c r="Z20" s="17" t="n"/>
    </row>
    <row r="21" ht="43.5" customHeight="1" s="15">
      <c r="A21" s="17" t="inlineStr">
        <is>
          <t>AUD-016</t>
        </is>
      </c>
      <c r="B21" s="17" t="inlineStr">
        <is>
          <t>Medium</t>
        </is>
      </c>
      <c r="C21" s="27" t="inlineStr">
        <is>
          <t>Approval</t>
        </is>
      </c>
      <c r="D21" s="27" t="inlineStr">
        <is>
          <t>AUTH-ADR-001 v1.10 is proposed; approved v1.9 remains effective and does not yet grant Procurement Officer/HOPF STD inspection.</t>
        </is>
      </c>
      <c r="E21" s="27" t="inlineStr">
        <is>
          <t>Closed</t>
        </is>
      </c>
      <c r="F21" s="27" t="inlineStr">
        <is>
          <t>Project Owner</t>
        </is>
      </c>
      <c r="G21" s="27" t="inlineStr">
        <is>
          <t>Project Owner approved the current document on 1 October 2026. Implementation and verification remain separately tracked.</t>
        </is>
      </c>
      <c r="H21" s="27" t="inlineStr">
        <is>
          <t>None — document approval recorded</t>
        </is>
      </c>
      <c r="I21" s="27" t="inlineStr">
        <is>
          <t>AUTH-ADR-001 v1.10 control block; Project Owner instruction 1 October 2026</t>
        </is>
      </c>
      <c r="J21" s="17" t="n"/>
      <c r="K21" s="17" t="n"/>
      <c r="L21" s="17" t="n"/>
      <c r="M21" s="17" t="n"/>
      <c r="N21" s="17" t="n"/>
      <c r="O21" s="17" t="n"/>
      <c r="P21" s="17" t="n"/>
      <c r="Q21" s="17" t="n"/>
      <c r="R21" s="17" t="n"/>
      <c r="S21" s="17" t="n"/>
      <c r="T21" s="17" t="n"/>
      <c r="U21" s="17" t="n"/>
      <c r="V21" s="17" t="n"/>
      <c r="W21" s="17" t="n"/>
      <c r="X21" s="17" t="n"/>
      <c r="Y21" s="17" t="n"/>
      <c r="Z21" s="17" t="n"/>
    </row>
    <row r="22" ht="43.5" customHeight="1" s="15">
      <c r="A22" s="17" t="inlineStr">
        <is>
          <t>AUD-017</t>
        </is>
      </c>
      <c r="B22" s="17" t="inlineStr">
        <is>
          <t>High</t>
        </is>
      </c>
      <c r="C22" s="27" t="inlineStr">
        <is>
          <t>Cross-document reconciliation</t>
        </is>
      </c>
      <c r="D22" s="27" t="inlineStr">
        <is>
          <t>BDS v0.8 physical-security receipt view discloses supplier identity before opening despite a blanket no-PE-bidder-identity statement; BOP v0.1 and PRC v0.2 lacked closed ceremony/PRC bindings. Controlled BOP v0.2, PRC v0.3 and BDS v0.9 are proposed corrections.</t>
        </is>
      </c>
      <c r="E22" s="27" t="inlineStr">
        <is>
          <t>Open</t>
        </is>
      </c>
      <c r="F22" s="27" t="inlineStr">
        <is>
          <t>Project Owner / requirements owner</t>
        </is>
      </c>
      <c r="G22" s="27" t="inlineStr">
        <is>
          <t>Review the three coordinated proposals; approve BDS receipt-owner exception and BOP/PRC lifecycle, then close actual renderer/proof and lawful operating-profile gates separately.</t>
        </is>
      </c>
      <c r="H22" s="27" t="inlineStr">
        <is>
          <t>Reconciled Bid Opening design and production authority</t>
        </is>
      </c>
      <c r="I22" s="27" t="inlineStr">
        <is>
          <t>BDS v0.8 §§5.9, 10.16; BOP v0.2 §7.1; PRC v0.3 §7.1; BDS v0.9 §12.2A</t>
        </is>
      </c>
      <c r="J22" s="17" t="n"/>
      <c r="K22" s="17" t="n"/>
      <c r="L22" s="17" t="n"/>
      <c r="M22" s="17" t="n"/>
      <c r="N22" s="17" t="n"/>
      <c r="O22" s="17" t="n"/>
      <c r="P22" s="17" t="n"/>
      <c r="Q22" s="17" t="n"/>
      <c r="R22" s="17" t="n"/>
      <c r="S22" s="17" t="n"/>
      <c r="T22" s="17" t="n"/>
      <c r="U22" s="17" t="n"/>
      <c r="V22" s="17" t="n"/>
      <c r="W22" s="17" t="n"/>
      <c r="X22" s="17" t="n"/>
      <c r="Y22" s="17" t="n"/>
      <c r="Z22" s="17" t="n"/>
    </row>
    <row r="23" ht="43.5" customHeight="1" s="15">
      <c r="A23" s="17" t="inlineStr">
        <is>
          <t>AUD-018</t>
        </is>
      </c>
      <c r="B23" s="17" t="inlineStr">
        <is>
          <t>High</t>
        </is>
      </c>
      <c r="C23" s="27" t="inlineStr">
        <is>
          <t>Design closure</t>
        </is>
      </c>
      <c r="D23" s="27" t="inlineStr">
        <is>
          <t>Earlier BOP/PRC versions conflated design fixtures with live evidence, contained contradictory actor/branch events, and left visible actions without a clear owner command. Approved BOP v0.10 and PRC v0.9 provide the end-to-end matrix, corrected branches, owner bindings and repeatable mechanical check. The cross-project standard gate is approved in KT-STD-001 v1.10.</t>
        </is>
      </c>
      <c r="E23" s="27" t="inlineStr">
        <is>
          <t>Controlled</t>
        </is>
      </c>
      <c r="F23" s="27" t="inlineStr">
        <is>
          <t>Requirements owner / Project Owner</t>
        </is>
      </c>
      <c r="G23" s="27" t="inlineStr">
        <is>
          <t>Apply approved BOP v0.10 / PRC v0.9 and KT-STD-001 v1.10, approved 29 September 2026. Use direct copy comparisons and actor/state/event review on affected branches. TPR v0.14 post-close cancellation remains a separately owned dependency.</t>
        </is>
      </c>
      <c r="H23" s="27" t="inlineStr">
        <is>
          <t>No BOP artboard; real opening activation and integrated proof remain separate later decisions</t>
        </is>
      </c>
      <c r="I23" s="27" t="inlineStr">
        <is>
          <t>Approved BOP v0.10, admitted 29 September 2026; approved PRC v0.9 and KT-STD-001 v1.10. BOP v0.9 retained as the prior approved baseline.</t>
        </is>
      </c>
      <c r="J23" s="17" t="n"/>
      <c r="K23" s="17" t="n"/>
      <c r="L23" s="17" t="n"/>
      <c r="M23" s="17" t="n"/>
      <c r="N23" s="17" t="n"/>
      <c r="O23" s="17" t="n"/>
      <c r="P23" s="17" t="n"/>
      <c r="Q23" s="17" t="n"/>
      <c r="R23" s="17" t="n"/>
      <c r="S23" s="17" t="n"/>
      <c r="T23" s="17" t="n"/>
      <c r="U23" s="17" t="n"/>
      <c r="V23" s="17" t="n"/>
      <c r="W23" s="17" t="n"/>
      <c r="X23" s="17" t="n"/>
      <c r="Y23" s="17" t="n"/>
      <c r="Z23" s="17" t="n"/>
    </row>
    <row r="24" ht="43.5" customHeight="1" s="15">
      <c r="A24" s="17" t="inlineStr">
        <is>
          <t>AUD-019</t>
        </is>
      </c>
      <c r="B24" s="17" t="inlineStr">
        <is>
          <t>High</t>
        </is>
      </c>
      <c r="C24" s="27" t="inlineStr">
        <is>
          <t>Award release dependencies</t>
        </is>
      </c>
      <c r="D24" s="27" t="inlineStr">
        <is>
          <t>AWD v0.4 is approved 1 October 2026. Current legal/notice operating rules and seven counterpart contracts are not closed by drafting this document.</t>
        </is>
      </c>
      <c r="E24" s="27" t="inlineStr">
        <is>
          <t>Open</t>
        </is>
      </c>
      <c r="F24" s="27" t="inlineStr">
        <is>
          <t>Requirements owner / legal-rule owner / integration owners</t>
        </is>
      </c>
      <c r="G24" s="27" t="inlineStr">
        <is>
          <t>reconcile AWD-IF-01–07; verify notice audience, giving, clocks, debrief and review rules; retain LAW-V-001; implement and test real services.</t>
        </is>
      </c>
      <c r="H24" s="27" t="inlineStr">
        <is>
          <t>Production Award release</t>
        </is>
      </c>
      <c r="I24" s="27" t="inlineStr">
        <is>
          <t>AWD-CHG-001 v0.4 §§15, 17; AWD-AC-026–027</t>
        </is>
      </c>
      <c r="J24" s="17" t="n"/>
      <c r="K24" s="17" t="n"/>
      <c r="L24" s="17" t="n"/>
      <c r="M24" s="17" t="n"/>
      <c r="N24" s="17" t="n"/>
      <c r="O24" s="17" t="n"/>
      <c r="P24" s="17" t="n"/>
      <c r="Q24" s="17" t="n"/>
      <c r="R24" s="17" t="n"/>
      <c r="S24" s="17" t="n"/>
      <c r="T24" s="17" t="n"/>
      <c r="U24" s="17" t="n"/>
      <c r="V24" s="17" t="n"/>
      <c r="W24" s="17" t="n"/>
      <c r="X24" s="17" t="n"/>
      <c r="Y24" s="17" t="n"/>
      <c r="Z24" s="17" t="n"/>
    </row>
    <row r="25" ht="43.5" customHeight="1" s="15">
      <c r="A25" s="17" t="inlineStr">
        <is>
          <t>AUD-020</t>
        </is>
      </c>
      <c r="B25" s="17" t="inlineStr">
        <is>
          <t>Medium</t>
        </is>
      </c>
      <c r="C25" s="27" t="inlineStr">
        <is>
          <t>Implementation evidence reconciliation</t>
        </is>
      </c>
      <c r="D25" s="27" t="inlineStr">
        <is>
          <t>SEED-OPS reports built BDS/BOP/EVL/AWD stages and seed-test success, while prior module rows said Planned/Not started. Full module acceptance and the cited Award OD-A plan were not supplied.</t>
        </is>
      </c>
      <c r="E25" s="27" t="inlineStr">
        <is>
          <t>Open</t>
        </is>
      </c>
      <c r="F25" s="27" t="inlineStr">
        <is>
          <t>Implementation and verification owners</t>
        </is>
      </c>
      <c r="G25" s="27" t="inlineStr">
        <is>
          <t>Link versioned build/test evidence and the Award plan. Verify complete module acceptance and current seed outcomes separately. Do not infer production readiness or requirements approval from seed results.</t>
        </is>
      </c>
      <c r="H25" s="27" t="inlineStr">
        <is>
          <t>Full implementation/verification closure for the affected modules</t>
        </is>
      </c>
      <c r="I25" s="27" t="inlineStr">
        <is>
          <t>SEED-OPS v1.18 §§2, 9A–9B, 10–11; supplied register SEED-OPS entry reports 23/23 tests on 1 October 2026.</t>
        </is>
      </c>
      <c r="J25" s="17" t="n"/>
      <c r="K25" s="17" t="n"/>
      <c r="L25" s="17" t="n"/>
      <c r="M25" s="17" t="n"/>
      <c r="N25" s="17" t="n"/>
      <c r="O25" s="17" t="n"/>
      <c r="P25" s="17" t="n"/>
      <c r="Q25" s="17" t="n"/>
      <c r="R25" s="17" t="n"/>
      <c r="S25" s="17" t="n"/>
      <c r="T25" s="17" t="n"/>
      <c r="U25" s="17" t="n"/>
      <c r="V25" s="17" t="n"/>
      <c r="W25" s="17" t="n"/>
      <c r="X25" s="17" t="n"/>
      <c r="Y25" s="17" t="n"/>
      <c r="Z25" s="17" t="n"/>
    </row>
    <row r="26" ht="43.5" customHeight="1" s="15">
      <c r="A26" s="17" t="inlineStr">
        <is>
          <t>AUD-021</t>
        </is>
      </c>
      <c r="B26" s="17" t="inlineStr">
        <is>
          <t>Medium</t>
        </is>
      </c>
      <c r="C26" s="27" t="inlineStr">
        <is>
          <t>Register lag</t>
        </is>
      </c>
      <c r="D26" s="27" t="inlineStr">
        <is>
          <t>The STD-TPL-001 entry recorded v0.10 although v0.12 (26 September 2026) and v0.13 (27 September 2026) had been approved.</t>
        </is>
      </c>
      <c r="E26" s="27" t="inlineStr">
        <is>
          <t>Resolved</t>
        </is>
      </c>
      <c r="F26" s="27" t="inlineStr">
        <is>
          <t>Documentation owner</t>
        </is>
      </c>
      <c r="G26" s="27" t="inlineStr">
        <is>
          <t>Entry corrected to v0.13 on 2 October 2026; v0.10 retained as prior_approved_baseline. v0.13's library file ID remains to be recorded.</t>
        </is>
      </c>
      <c r="H26" s="27" t="inlineStr">
        <is>
          <t>None</t>
        </is>
      </c>
      <c r="I26" s="27" t="inlineStr">
        <is>
          <t>STD-TPL-001 v0.13 control table; KenTender_STD-TPL-001_Change_Request_Questionnaire_Structure_2026-10-02.md §9</t>
        </is>
      </c>
      <c r="J26" s="17" t="n"/>
      <c r="K26" s="17" t="n"/>
      <c r="L26" s="17" t="n"/>
      <c r="M26" s="17" t="n"/>
      <c r="N26" s="17" t="n"/>
      <c r="O26" s="17" t="n"/>
      <c r="P26" s="17" t="n"/>
      <c r="Q26" s="17" t="n"/>
      <c r="R26" s="17" t="n"/>
      <c r="S26" s="17" t="n"/>
      <c r="T26" s="17" t="n"/>
      <c r="U26" s="17" t="n"/>
      <c r="V26" s="17" t="n"/>
      <c r="W26" s="17" t="n"/>
      <c r="X26" s="17" t="n"/>
      <c r="Y26" s="17" t="n"/>
      <c r="Z26" s="17" t="n"/>
    </row>
    <row r="27" ht="43.5" customHeight="1" s="15">
      <c r="A27" s="17" t="inlineStr">
        <is>
          <t>AUD-022</t>
        </is>
      </c>
      <c r="B27" s="17" t="inlineStr">
        <is>
          <t>Medium</t>
        </is>
      </c>
      <c r="C27" s="27" t="inlineStr">
        <is>
          <t>Stale reference</t>
        </is>
      </c>
      <c r="D27" s="27" t="inlineStr">
        <is>
          <t>TPR-CHG-001 v0.15 and BDS-CHG-001 v0.10 cite STD-TPL-001 v0.10 as an owner contract although v0.13 is approved; STD-TPL-001 v0.13 and v0.14 cite STD-TPL-IMP-001 v1.0 and KT-STD-001 v1.8 although v1.1 and v1.13 are approved.</t>
        </is>
      </c>
      <c r="E27" s="27" t="inlineStr">
        <is>
          <t>Open</t>
        </is>
      </c>
      <c r="F27" s="27" t="inlineStr">
        <is>
          <t>Requirements owner</t>
        </is>
      </c>
      <c r="G27" s="27" t="inlineStr">
        <is>
          <t>Reconcile the citations in each document's next successor without changing approved behaviour; the TPR and BDS walkthrough successors are the natural vehicle.</t>
        </is>
      </c>
      <c r="H27" s="27" t="inlineStr">
        <is>
          <t>Clean template/tender/bid traceability</t>
        </is>
      </c>
      <c r="I27" s="27" t="inlineStr">
        <is>
          <t>TPR-CHG-001 v0.15 control table 'Owner contracts' and §17; BDS-CHG-001 v0.10 control table, §17 and BDS06-AC-001; STD-TPL-001 v0.13 control table 'Implementation authority' and §17</t>
        </is>
      </c>
      <c r="J27" s="17" t="n"/>
      <c r="K27" s="17" t="n"/>
      <c r="L27" s="17" t="n"/>
      <c r="M27" s="17" t="n"/>
      <c r="N27" s="17" t="n"/>
      <c r="O27" s="17" t="n"/>
      <c r="P27" s="17" t="n"/>
      <c r="Q27" s="17" t="n"/>
      <c r="R27" s="17" t="n"/>
      <c r="S27" s="17" t="n"/>
      <c r="T27" s="17" t="n"/>
      <c r="U27" s="17" t="n"/>
      <c r="V27" s="17" t="n"/>
      <c r="W27" s="17" t="n"/>
      <c r="X27" s="17" t="n"/>
      <c r="Y27" s="17" t="n"/>
      <c r="Z27" s="17" t="n"/>
    </row>
    <row r="28" ht="43.5" customHeight="1" s="15">
      <c r="A28" s="17" t="inlineStr">
        <is>
          <t>AUD-023</t>
        </is>
      </c>
      <c r="B28" s="17" t="inlineStr">
        <is>
          <t>Medium</t>
        </is>
      </c>
      <c r="C28" s="27" t="inlineStr">
        <is>
          <t>Evidence</t>
        </is>
      </c>
      <c r="D28" s="27" t="inlineStr">
        <is>
          <t>STD-ST-001 v0.5's approval effect says the §13 human walkthroughs and a separately approved narrow implementation pack remain required before implementation begins. No document read on 2 October 2026 records that the walkthroughs were held or waived, while STD template, Tenders and Bid Submission work is in progress.</t>
        </is>
      </c>
      <c r="E28" s="27" t="inlineStr">
        <is>
          <t>Open</t>
        </is>
      </c>
      <c r="F28" s="27" t="inlineStr">
        <is>
          <t>Project Owner</t>
        </is>
      </c>
      <c r="G28" s="27" t="inlineStr">
        <is>
          <t>Record whether the §13 walkthroughs were held, waived or superseded, and whether STD-TPL-IMP-001 v1.1 is the required implementation pack.</t>
        </is>
      </c>
      <c r="H28" s="27" t="inlineStr">
        <is>
          <t>Clean authority trail for STD template implementation</t>
        </is>
      </c>
      <c r="I28" s="27" t="inlineStr">
        <is>
          <t>STD-ST-001 v0.5 'Approval effect' and §13</t>
        </is>
      </c>
      <c r="J28" s="17" t="n"/>
      <c r="K28" s="17" t="n"/>
      <c r="L28" s="17" t="n"/>
      <c r="M28" s="17" t="n"/>
      <c r="N28" s="17" t="n"/>
      <c r="O28" s="17" t="n"/>
      <c r="P28" s="17" t="n"/>
      <c r="Q28" s="17" t="n"/>
      <c r="R28" s="17" t="n"/>
      <c r="S28" s="17" t="n"/>
      <c r="T28" s="17" t="n"/>
      <c r="U28" s="17" t="n"/>
      <c r="V28" s="17" t="n"/>
      <c r="W28" s="17" t="n"/>
      <c r="X28" s="17" t="n"/>
      <c r="Y28" s="17" t="n"/>
      <c r="Z28" s="17" t="n"/>
    </row>
    <row r="29" ht="43.5" customHeight="1" s="15">
      <c r="A29" s="17" t="inlineStr">
        <is>
          <t>AUD-024</t>
        </is>
      </c>
      <c r="B29" s="17" t="inlineStr">
        <is>
          <t>Low</t>
        </is>
      </c>
      <c r="C29" s="27" t="inlineStr">
        <is>
          <t>Version coordination</t>
        </is>
      </c>
      <c r="D29" s="27" t="inlineStr">
        <is>
          <t>STD-TPL-001 proposed v0.14 (template walkthrough) was drafted from v0.13 while successor versions for questionnaire Parts A and B are being prepared separately; two successors could claim v0.14.</t>
        </is>
      </c>
      <c r="E29" s="27" t="inlineStr">
        <is>
          <t>Open</t>
        </is>
      </c>
      <c r="F29" s="27" t="inlineStr">
        <is>
          <t>Requirements owner</t>
        </is>
      </c>
      <c r="G29" s="27" t="inlineStr">
        <is>
          <t>Settle the numbering before approval; renumber and rebase the later one without changing its content (STD-TPL-001 proposed v0.14 control table, 'Version coordination (v0.14)').</t>
        </is>
      </c>
      <c r="H29" s="27" t="inlineStr">
        <is>
          <t>Approval of STD-TPL-001 v0.14</t>
        </is>
      </c>
      <c r="I29" s="27" t="inlineStr">
        <is>
          <t>KenTender_STD-TPL-001_IT_Equipment_Tender_Template_Curation_and_Release_Pack_v0_14.md control table</t>
        </is>
      </c>
      <c r="J29" s="17" t="n"/>
      <c r="K29" s="17" t="n"/>
      <c r="L29" s="17" t="n"/>
      <c r="M29" s="17" t="n"/>
      <c r="N29" s="17" t="n"/>
      <c r="O29" s="17" t="n"/>
      <c r="P29" s="17" t="n"/>
      <c r="Q29" s="17" t="n"/>
      <c r="R29" s="17" t="n"/>
      <c r="S29" s="17" t="n"/>
      <c r="T29" s="17" t="n"/>
      <c r="U29" s="17" t="n"/>
      <c r="V29" s="17" t="n"/>
      <c r="W29" s="17" t="n"/>
      <c r="X29" s="17" t="n"/>
      <c r="Y29" s="17" t="n"/>
      <c r="Z29" s="17" t="n"/>
    </row>
    <row r="30" ht="15" customHeight="1" s="15">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 customHeight="1" s="15">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 customHeight="1" s="15">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 customHeight="1" s="15">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 customHeight="1" s="15">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 customHeight="1" s="1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 customHeight="1" s="15">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 customHeight="1" s="15">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 customHeight="1" s="15">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 customHeight="1" s="15">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 customHeight="1" s="15">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15" customHeight="1" s="15">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 customHeight="1" s="15">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 customHeight="1" s="15">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 customHeight="1" s="15">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 customHeight="1" s="1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 customHeight="1" s="15">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 customHeight="1" s="15">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 customHeight="1" s="15">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 customHeight="1" s="15">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 customHeight="1" s="15">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row>
    <row r="51" ht="15" customHeight="1" s="15">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row>
    <row r="52" ht="15" customHeight="1" s="15">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row>
    <row r="53" ht="15" customHeight="1" s="15">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row>
    <row r="54" ht="15" customHeight="1" s="15">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row>
    <row r="55" ht="15" customHeight="1" s="1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row>
    <row r="56" ht="15" customHeight="1" s="15">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row>
    <row r="57" ht="15" customHeight="1" s="15">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row>
    <row r="58" ht="15" customHeight="1" s="15">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row>
    <row r="59" ht="15" customHeight="1" s="15">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row>
    <row r="60" ht="15" customHeight="1" s="15">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row>
    <row r="61" ht="15" customHeight="1" s="15">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row>
    <row r="62" ht="15" customHeight="1" s="15">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row>
    <row r="63" ht="15" customHeight="1" s="15">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row>
    <row r="64" ht="15" customHeight="1" s="15">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row>
    <row r="65" ht="15" customHeight="1" s="15">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row>
    <row r="66" ht="15" customHeight="1" s="15">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row>
    <row r="67" ht="15" customHeight="1" s="15">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row>
    <row r="68" ht="15" customHeight="1" s="15">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row>
    <row r="69" ht="15" customHeight="1" s="15">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row>
    <row r="70" ht="15" customHeight="1" s="15">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row>
    <row r="71" ht="15" customHeight="1" s="15">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row>
    <row r="72" ht="15" customHeight="1" s="15">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row>
    <row r="73" ht="15" customHeight="1" s="15">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row>
    <row r="74" ht="15" customHeight="1" s="15">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row>
    <row r="75" ht="15" customHeight="1" s="15">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row>
    <row r="76" ht="15" customHeight="1" s="15">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row>
    <row r="77" ht="15" customHeight="1" s="15">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row>
    <row r="78" ht="15" customHeight="1" s="15">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row>
    <row r="79" ht="15" customHeight="1" s="15">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row>
    <row r="80" ht="15" customHeight="1" s="15">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row>
    <row r="81" ht="15" customHeight="1" s="15">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row>
    <row r="82" ht="15" customHeight="1" s="15">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row>
    <row r="83" ht="15" customHeight="1" s="15">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row>
    <row r="84" ht="15" customHeight="1" s="15">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row>
    <row r="85" ht="15" customHeight="1" s="15">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row>
    <row r="86" ht="15" customHeight="1" s="15">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row>
    <row r="87" ht="15" customHeight="1" s="15">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row>
    <row r="88" ht="15" customHeight="1" s="15">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row>
    <row r="89" ht="15" customHeight="1" s="15">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row>
    <row r="90" ht="15" customHeight="1" s="15">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row>
    <row r="91" ht="15" customHeight="1" s="15">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row>
    <row r="92" ht="15" customHeight="1" s="15">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row>
    <row r="93" ht="15" customHeight="1" s="15">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row>
    <row r="94" ht="15" customHeight="1" s="15">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row>
    <row r="95" ht="15" customHeight="1" s="15">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row>
    <row r="96" ht="15" customHeight="1" s="15">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row>
    <row r="97" ht="15" customHeight="1" s="15">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row>
    <row r="98" ht="15" customHeight="1" s="15">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row>
    <row r="99" ht="15" customHeight="1" s="15">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row>
    <row r="100" ht="15" customHeight="1" s="15">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row>
    <row r="101" ht="15" customHeight="1" s="15">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row>
    <row r="102" ht="15" customHeight="1" s="15">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row>
    <row r="103" ht="15" customHeight="1" s="15">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row>
    <row r="104" ht="15" customHeight="1" s="15">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row>
    <row r="105" ht="15" customHeight="1" s="15">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row>
    <row r="106" ht="15" customHeight="1" s="15">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row>
    <row r="107" ht="15" customHeight="1" s="15">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row>
    <row r="108" ht="15" customHeight="1" s="15">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row>
    <row r="109" ht="15" customHeight="1" s="15">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row>
    <row r="110" ht="15" customHeight="1" s="15">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row>
    <row r="111" ht="15" customHeight="1" s="15">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row>
    <row r="112" ht="15" customHeight="1" s="15">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row>
    <row r="113" ht="15" customHeight="1" s="15">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row>
    <row r="114" ht="15" customHeight="1" s="15">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row>
    <row r="115" ht="15" customHeight="1" s="15">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row>
    <row r="116" ht="15" customHeight="1" s="15">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row>
    <row r="117" ht="15" customHeight="1" s="15">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row>
    <row r="118" ht="15" customHeight="1" s="15">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row>
    <row r="119" ht="15" customHeight="1" s="15">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row>
    <row r="120" ht="15" customHeight="1" s="15">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row>
    <row r="121" ht="15" customHeight="1" s="15">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row>
    <row r="122" ht="15" customHeight="1" s="15">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row>
    <row r="123" ht="15" customHeight="1" s="15">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row>
    <row r="124" ht="15" customHeight="1" s="15">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row>
    <row r="125" ht="15" customHeight="1" s="15">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row>
    <row r="126" ht="15" customHeight="1" s="15">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row>
    <row r="127" ht="15" customHeight="1" s="15">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row>
    <row r="128" ht="15" customHeight="1" s="15">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row>
    <row r="129" ht="15" customHeight="1" s="15">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row>
    <row r="130" ht="15" customHeight="1" s="15">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row>
    <row r="131" ht="15" customHeight="1" s="15">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row>
    <row r="132" ht="15" customHeight="1" s="15">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row>
    <row r="133" ht="15" customHeight="1" s="15">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row>
    <row r="134" ht="15" customHeight="1" s="15">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row>
    <row r="135" ht="15" customHeight="1" s="15">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row>
    <row r="136" ht="15" customHeight="1" s="15">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row>
    <row r="137" ht="15" customHeight="1" s="15">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row>
    <row r="138" ht="15" customHeight="1" s="15">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row>
    <row r="139" ht="15" customHeight="1" s="15">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row>
    <row r="140" ht="15" customHeight="1" s="15">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row>
    <row r="141" ht="15" customHeight="1" s="15">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row>
    <row r="142" ht="15" customHeight="1" s="15">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row>
    <row r="143" ht="15" customHeight="1" s="15">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row>
    <row r="144" ht="15" customHeight="1" s="15">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row>
    <row r="145" ht="15" customHeight="1" s="15">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row>
    <row r="146" ht="15" customHeight="1" s="15">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row>
    <row r="147" ht="15" customHeight="1" s="15">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row>
    <row r="148" ht="15" customHeight="1" s="15">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row>
    <row r="149" ht="15" customHeight="1" s="15">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row>
    <row r="150" ht="15" customHeight="1" s="15">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row>
    <row r="151" ht="15" customHeight="1" s="15">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row>
    <row r="152" ht="15" customHeight="1" s="15">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row>
    <row r="153" ht="15" customHeight="1" s="15">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row>
    <row r="154" ht="15" customHeight="1" s="15">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row>
    <row r="155" ht="15" customHeight="1" s="15">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row>
    <row r="156" ht="15" customHeight="1" s="15">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row>
    <row r="157" ht="15" customHeight="1" s="15">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row>
    <row r="158" ht="15" customHeight="1" s="15">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row>
    <row r="159" ht="15" customHeight="1" s="15">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row>
    <row r="160" ht="15" customHeight="1" s="15">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row>
    <row r="161" ht="15" customHeight="1" s="15">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row>
    <row r="162" ht="15" customHeight="1" s="15">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row>
    <row r="163" ht="15" customHeight="1" s="15">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row>
    <row r="164" ht="15" customHeight="1" s="15">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row>
    <row r="165" ht="15" customHeight="1" s="15">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row>
    <row r="166" ht="15" customHeight="1" s="15">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row>
    <row r="167" ht="15" customHeight="1" s="15">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row>
    <row r="168" ht="15" customHeight="1" s="15">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row>
    <row r="169" ht="15" customHeight="1" s="15">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row>
    <row r="170" ht="15" customHeight="1" s="15">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row>
    <row r="171" ht="15" customHeight="1" s="15">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row>
    <row r="172" ht="15" customHeight="1" s="15">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row>
    <row r="173" ht="15" customHeight="1" s="15">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row>
    <row r="174" ht="15" customHeight="1" s="15">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row>
    <row r="175" ht="15" customHeight="1" s="15">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row>
    <row r="176" ht="15" customHeight="1" s="15">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row>
    <row r="177" ht="15" customHeight="1" s="15">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row>
    <row r="178" ht="15" customHeight="1" s="15">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row>
    <row r="179" ht="15" customHeight="1" s="15">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row>
    <row r="180" ht="15" customHeight="1" s="15">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row>
    <row r="181" ht="15" customHeight="1" s="15">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row>
    <row r="182" ht="15" customHeight="1" s="15">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row>
    <row r="183" ht="15" customHeight="1" s="15">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row>
    <row r="184" ht="15" customHeight="1" s="15">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row>
    <row r="185" ht="15" customHeight="1" s="15">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row>
    <row r="186" ht="15" customHeight="1" s="15">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row>
    <row r="187" ht="15" customHeight="1" s="15">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row>
    <row r="188" ht="15" customHeight="1" s="15">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row>
    <row r="189" ht="15" customHeight="1" s="15">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row>
    <row r="190" ht="15" customHeight="1" s="15">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row>
    <row r="191" ht="15" customHeight="1" s="15">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row>
    <row r="192" ht="15" customHeight="1" s="15">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row>
    <row r="193" ht="15" customHeight="1" s="15">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row>
    <row r="194" ht="15" customHeight="1" s="15">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row>
    <row r="195" ht="15" customHeight="1" s="15">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row>
    <row r="196" ht="15" customHeight="1" s="15">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row>
    <row r="197" ht="15" customHeight="1" s="15">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row>
    <row r="198" ht="15" customHeight="1" s="15">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row>
    <row r="199" ht="15" customHeight="1" s="15">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row>
    <row r="200" ht="15" customHeight="1" s="15">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row>
  </sheetData>
  <mergeCells count="2">
    <mergeCell ref="A1:I1"/>
    <mergeCell ref="A2:I2"/>
  </mergeCells>
  <conditionalFormatting sqref="E6:E29">
    <cfRule type="containsText" rank="0" priority="2" equalAverage="0" operator="containsText" aboveAverage="0" dxfId="13" text="Approved" percent="0" bottom="0">
      <formula>NOT(ISERROR(SEARCH("Approved",E6)))</formula>
    </cfRule>
    <cfRule type="containsText" rank="0" priority="3" equalAverage="0" operator="containsText" aboveAverage="0" dxfId="13" text="Passed" percent="0" bottom="0">
      <formula>NOT(ISERROR(SEARCH("Passed",E6)))</formula>
    </cfRule>
    <cfRule type="containsText" rank="0" priority="4" equalAverage="0" operator="containsText" aboveAverage="0" dxfId="13" text="Released" percent="0" bottom="0">
      <formula>NOT(ISERROR(SEARCH("Released",E6)))</formula>
    </cfRule>
    <cfRule type="containsText" rank="0" priority="5" equalAverage="0" operator="containsText" aboveAverage="0" dxfId="1" text="Project Owner review" percent="0" bottom="0">
      <formula>NOT(ISERROR(SEARCH("Project Owner review",E6)))</formula>
    </cfRule>
    <cfRule type="containsText" rank="0" priority="6" equalAverage="0" operator="containsText" aboveAverage="0" dxfId="14" text="Pending" percent="0" bottom="0">
      <formula>NOT(ISERROR(SEARCH("Pending",E6)))</formula>
    </cfRule>
    <cfRule type="containsText" rank="0" priority="7" equalAverage="0" operator="containsText" aboveAverage="0" dxfId="0" text="Blocked" percent="0" bottom="0">
      <formula>NOT(ISERROR(SEARCH("Blocked",E6)))</formula>
    </cfRule>
    <cfRule type="containsText" rank="0" priority="8" equalAverage="0" operator="containsText" aboveAverage="0" dxfId="0" text="unresolved" percent="0" bottom="0">
      <formula>NOT(ISERROR(SEARCH("unresolved",E6)))</formula>
    </cfRule>
    <cfRule type="containsText" rank="0" priority="9" equalAverage="0" operator="containsText" aboveAverage="0" dxfId="15" text="Not started" percent="0" bottom="0">
      <formula>NOT(ISERROR(SEARCH("Not started",E6)))</formula>
    </cfRule>
    <cfRule type="containsText" rank="0" priority="10" equalAverage="0" operator="containsText" aboveAverage="0" dxfId="15" text="Not evidenced" percent="0" bottom="0">
      <formula>NOT(ISERROR(SEARCH("Not evidenced",E6)))</formula>
    </cfRule>
  </conditionalFormatting>
  <conditionalFormatting sqref="B6:B29">
    <cfRule type="containsText" rank="0" priority="11" equalAverage="0" operator="containsText" aboveAverage="0" dxfId="0" text="Critical" percent="0" bottom="0">
      <formula>NOT(ISERROR(SEARCH("Critical",B6)))</formula>
    </cfRule>
    <cfRule type="containsText" rank="0" priority="12" equalAverage="0" operator="containsText" aboveAverage="0" dxfId="1" text="High" percent="0" bottom="0">
      <formula>NOT(ISERROR(SEARCH("High",B6)))</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2026-10-02T14:55:42Z</dcterms:created>
  <dcterms:modified xmlns:dcterms="http://purl.org/dc/terms/" xmlns:xsi="http://www.w3.org/2001/XMLSchema-instance" xsi:type="dcterms:W3CDTF">2026-10-03T11:13:09Z</dcterms:modified>
  <cp:revision>0</cp:revision>
</cp:coreProperties>
</file>