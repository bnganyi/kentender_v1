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191618eb604143" /></Relationships>
</file>

<file path=xl/workbook.xml><?xml version="1.0" encoding="utf-8"?>
<x:workbook xmlns:x="http://schemas.openxmlformats.org/spreadsheetml/2006/main">
  <x:sheets>
    <x:sheet xmlns:r="http://schemas.openxmlformats.org/officeDocument/2006/relationships" name="Read Me" sheetId="1" r:id="R6ccb5f804981494c"/>
    <x:sheet xmlns:r="http://schemas.openxmlformats.org/officeDocument/2006/relationships" name="Lifecycle Controls" sheetId="2" r:id="R302bef5e699d46f7"/>
    <x:sheet xmlns:r="http://schemas.openxmlformats.org/officeDocument/2006/relationships" name="Roles &amp; Authority" sheetId="3" r:id="R5024f3f4f6334bca"/>
    <x:sheet xmlns:r="http://schemas.openxmlformats.org/officeDocument/2006/relationships" name="Forms &amp; Schedules" sheetId="4" r:id="R21e836b90ff94980"/>
    <x:sheet xmlns:r="http://schemas.openxmlformats.org/officeDocument/2006/relationships" name="Methods &amp; Gates" sheetId="5" r:id="R41887cffa4ef4e83"/>
    <x:sheet xmlns:r="http://schemas.openxmlformats.org/officeDocument/2006/relationships" name="Gap Register" sheetId="6" r:id="Ra7eecf8939164808"/>
    <x:sheet xmlns:r="http://schemas.openxmlformats.org/officeDocument/2006/relationships" name="Sources" sheetId="7" r:id="Ra45b3dbf3215444e"/>
    <x:sheet xmlns:r="http://schemas.openxmlformats.org/officeDocument/2006/relationships" name="Controlled Lists" sheetId="8" r:id="Redb4f8a0f95d4777"/>
  </x:sheets>
</x:workbook>
</file>

<file path=xl/sharedStrings.xml><?xml version="1.0" encoding="utf-8"?>
<x:sst xmlns:x="http://schemas.openxmlformats.org/spreadsheetml/2006/main"/>
</file>

<file path=xl/styles.xml><?xml version="1.0" encoding="utf-8"?>
<x:styleSheet xmlns:x="http://schemas.openxmlformats.org/spreadsheetml/2006/main">
  <x:fonts count="14">
    <x:font>
      <x:sz val="11"/>
      <x:name val="Carlito"/>
    </x:font>
    <x:font>
      <x:b/>
      <x:sz val="20"/>
      <x:color rgb="FFFFFFFF"/>
      <x:name val="Carlito"/>
    </x:font>
    <x:font>
      <x:i/>
      <x:sz val="11"/>
      <x:color rgb="FF17202A"/>
      <x:name val="Carlito"/>
    </x:font>
    <x:font>
      <x:b/>
      <x:sz val="11"/>
      <x:color rgb="FF16324F"/>
      <x:name val="Carlito"/>
    </x:font>
    <x:font>
      <x:b/>
      <x:sz val="11"/>
      <x:color rgb="FFFFFFFF"/>
      <x:name val="Carlito"/>
    </x:font>
    <x:font>
      <x:b/>
      <x:sz val="14"/>
      <x:color rgb="FF1F4E78"/>
      <x:name val="Carlito"/>
    </x:font>
    <x:font>
      <x:b/>
      <x:sz val="12"/>
      <x:color rgb="FFFFFFFF"/>
      <x:name val="Carlito"/>
    </x:font>
    <x:font>
      <x:sz val="10"/>
      <x:name val="Carlito"/>
    </x:font>
    <x:font>
      <x:b/>
      <x:sz val="11"/>
      <x:color rgb="FFB42318"/>
      <x:name val="Carlito"/>
    </x:font>
    <x:font>
      <x:b/>
      <x:sz val="18"/>
      <x:color rgb="FFFFFFFF"/>
      <x:name val="Carlito"/>
    </x:font>
    <x:font>
      <x:i/>
      <x:sz val="10"/>
      <x:color rgb="FF17202A"/>
      <x:name val="Carlito"/>
    </x:font>
    <x:font>
      <x:b/>
      <x:sz val="10"/>
      <x:color rgb="FFFFFFFF"/>
      <x:name val="Carlito"/>
    </x:font>
    <x:font>
      <x:sz val="9"/>
      <x:color rgb="FF17202A"/>
      <x:name val="Carlito"/>
    </x:font>
    <x:font>
      <x:b/>
      <x:sz val="9"/>
      <x:color rgb="FF1F4E78"/>
      <x:name val="Carlito"/>
    </x:font>
  </x:fonts>
  <x:fills count="10">
    <x:fill>
      <x:patternFill patternType="none"/>
    </x:fill>
    <x:fill>
      <x:patternFill patternType="gray125"/>
    </x:fill>
    <x:fill>
      <x:patternFill patternType="solid">
        <x:fgColor rgb="FF16324F"/>
      </x:patternFill>
    </x:fill>
    <x:fill>
      <x:patternFill patternType="solid">
        <x:fgColor rgb="FFD9EAF7"/>
      </x:patternFill>
    </x:fill>
    <x:fill>
      <x:patternFill patternType="solid">
        <x:fgColor rgb="FFEEF1F4"/>
      </x:patternFill>
    </x:fill>
    <x:fill>
      <x:patternFill patternType="solid">
        <x:fgColor rgb="FF1F4E78"/>
      </x:patternFill>
    </x:fill>
    <x:fill>
      <x:patternFill patternType="solid">
        <x:fgColor rgb="FFFFFFFF"/>
      </x:patternFill>
    </x:fill>
    <x:fill>
      <x:patternFill patternType="solid">
        <x:fgColor rgb="FF0F6B78"/>
      </x:patternFill>
    </x:fill>
    <x:fill>
      <x:patternFill patternType="solid">
        <x:fgColor rgb="FFC69214"/>
      </x:patternFill>
    </x:fill>
    <x:fill>
      <x:patternFill patternType="solid">
        <x:fgColor rgb="FFFDE8E7"/>
      </x:patternFill>
    </x:fill>
  </x:fills>
  <x:borders count="15">
    <x:border/>
    <x:border>
      <x:bottom style="thin">
        <x:color rgb="FFCBD5E1"/>
      </x:bottom>
    </x:border>
    <x:border>
      <x:top style="thin">
        <x:color rgb="FFCBD5E1"/>
      </x:top>
      <x:bottom style="thin">
        <x:color rgb="FFCBD5E1"/>
      </x:bottom>
    </x:border>
    <x:border>
      <x:top style="thin">
        <x:color rgb="FFCBD5E1"/>
      </x:top>
    </x:border>
    <x:border>
      <x:left style="thin">
        <x:color rgb="FFCBD5E1"/>
      </x:left>
      <x:right style="thin">
        <x:color rgb="FFCBD5E1"/>
      </x:right>
      <x:top style="thin">
        <x:color rgb="FFCBD5E1"/>
      </x:top>
    </x:border>
    <x:border>
      <x:left style="thin">
        <x:color rgb="FFCBD5E1"/>
      </x:left>
      <x:right style="thin">
        <x:color rgb="FFCBD5E1"/>
      </x:right>
    </x:border>
    <x:border>
      <x:left style="thin">
        <x:color rgb="FFCBD5E1"/>
      </x:left>
      <x:right style="thin">
        <x:color rgb="FFCBD5E1"/>
      </x:right>
      <x:bottom style="thin">
        <x:color rgb="FFCBD5E1"/>
      </x:bottom>
    </x:border>
    <x:border>
      <x:left style="medium">
        <x:color rgb="FFB42318"/>
      </x:left>
      <x:top style="medium">
        <x:color rgb="FFB42318"/>
      </x:top>
    </x:border>
    <x:border>
      <x:top style="medium">
        <x:color rgb="FFB42318"/>
      </x:top>
    </x:border>
    <x:border>
      <x:right style="medium">
        <x:color rgb="FFB42318"/>
      </x:right>
      <x:top style="medium">
        <x:color rgb="FFB42318"/>
      </x:top>
    </x:border>
    <x:border>
      <x:left style="medium">
        <x:color rgb="FFB42318"/>
      </x:left>
    </x:border>
    <x:border>
      <x:right style="medium">
        <x:color rgb="FFB42318"/>
      </x:right>
    </x:border>
    <x:border>
      <x:left style="medium">
        <x:color rgb="FFB42318"/>
      </x:left>
      <x:bottom style="medium">
        <x:color rgb="FFB42318"/>
      </x:bottom>
    </x:border>
    <x:border>
      <x:bottom style="medium">
        <x:color rgb="FFB42318"/>
      </x:bottom>
    </x:border>
    <x:border>
      <x:right style="medium">
        <x:color rgb="FFB42318"/>
      </x:right>
      <x:bottom style="medium">
        <x:color rgb="FFB42318"/>
      </x:bottom>
    </x:border>
  </x:borders>
  <x:cellStyleXfs count="1">
    <x:xf numFmtId="0" fontId="0" fillId="0" borderId="0"/>
  </x:cellStyleXfs>
  <x:cellXfs count="8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4" xfId="0" applyNumberFormat="1" applyFont="1" applyFill="1" applyBorder="1"/>
    <x:xf numFmtId="0" fontId="5" fillId="6" borderId="5" xfId="0" applyNumberFormat="1" applyFont="1" applyFill="1" applyBorder="1"/>
    <x:xf numFmtId="0" fontId="5" fillId="6" borderId="6" xfId="0" applyNumberFormat="1" applyFont="1" applyFill="1" applyBorder="1"/>
    <x:xf numFmtId="0" fontId="5" fillId="6" borderId="4" xfId="0" applyNumberFormat="1" applyFont="1" applyFill="1" applyBorder="1" applyAlignment="1">
      <x:alignment horizontal="center"/>
    </x:xf>
    <x:xf numFmtId="0" fontId="5" fillId="6" borderId="5" xfId="0" applyNumberFormat="1" applyFont="1" applyFill="1" applyBorder="1" applyAlignment="1">
      <x:alignment horizontal="center"/>
    </x:xf>
    <x:xf numFmtId="0" fontId="5" fillId="6" borderId="6" xfId="0" applyNumberFormat="1" applyFont="1" applyFill="1" applyBorder="1" applyAlignment="1">
      <x:alignment horizontal="center"/>
    </x:xf>
    <x:xf numFmtId="0" fontId="0" fillId="7" borderId="0" xfId="0" applyNumberFormat="1" applyFont="1" applyFill="1" applyBorder="1"/>
    <x:xf numFmtId="0" fontId="6" fillId="7" borderId="0" xfId="0" applyNumberFormat="1" applyFont="1" applyFill="1" applyBorder="1"/>
    <x:xf numFmtId="0" fontId="7" fillId="0" borderId="0" xfId="0" applyNumberFormat="1" applyFont="1" applyFill="1" applyBorder="1"/>
    <x:xf numFmtId="0" fontId="7" fillId="0" borderId="1"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1" xfId="0" applyNumberFormat="1" applyFont="1" applyFill="1" applyBorder="1" applyAlignment="1">
      <x:alignment wrapText="1"/>
    </x:xf>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0" fillId="8" borderId="0" xfId="0" applyNumberFormat="1" applyFont="1" applyFill="1" applyBorder="1"/>
    <x:xf numFmtId="0" fontId="6"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7" xfId="0" applyNumberFormat="1" applyFont="1" applyFill="1" applyBorder="1"/>
    <x:xf numFmtId="0" fontId="8" fillId="9" borderId="8" xfId="0" applyNumberFormat="1" applyFont="1" applyFill="1" applyBorder="1"/>
    <x:xf numFmtId="0" fontId="8" fillId="9" borderId="9" xfId="0" applyNumberFormat="1" applyFont="1" applyFill="1" applyBorder="1"/>
    <x:xf numFmtId="0" fontId="8" fillId="9" borderId="10" xfId="0" applyNumberFormat="1" applyFont="1" applyFill="1" applyBorder="1"/>
    <x:xf numFmtId="0" fontId="8" fillId="9" borderId="11" xfId="0" applyNumberFormat="1" applyFont="1" applyFill="1" applyBorder="1"/>
    <x:xf numFmtId="0" fontId="8" fillId="9" borderId="12" xfId="0" applyNumberFormat="1" applyFont="1" applyFill="1" applyBorder="1"/>
    <x:xf numFmtId="0" fontId="8" fillId="9" borderId="13" xfId="0" applyNumberFormat="1" applyFont="1" applyFill="1" applyBorder="1"/>
    <x:xf numFmtId="0" fontId="8" fillId="9" borderId="14" xfId="0" applyNumberFormat="1" applyFont="1" applyFill="1" applyBorder="1"/>
    <x:xf numFmtId="0" fontId="8" fillId="9" borderId="7" xfId="0" applyNumberFormat="1" applyFont="1" applyFill="1" applyBorder="1" applyAlignment="1">
      <x:alignment wrapText="1"/>
    </x:xf>
    <x:xf numFmtId="0" fontId="8" fillId="9" borderId="8" xfId="0" applyNumberFormat="1" applyFont="1" applyFill="1" applyBorder="1" applyAlignment="1">
      <x:alignment wrapText="1"/>
    </x:xf>
    <x:xf numFmtId="0" fontId="8" fillId="9" borderId="9" xfId="0" applyNumberFormat="1" applyFont="1" applyFill="1" applyBorder="1" applyAlignment="1">
      <x:alignment wrapText="1"/>
    </x:xf>
    <x:xf numFmtId="0" fontId="8" fillId="9" borderId="10" xfId="0" applyNumberFormat="1" applyFont="1" applyFill="1" applyBorder="1" applyAlignment="1">
      <x:alignment wrapText="1"/>
    </x:xf>
    <x:xf numFmtId="0" fontId="8" fillId="9" borderId="0" xfId="0" applyNumberFormat="1" applyFont="1" applyFill="1" applyBorder="1" applyAlignment="1">
      <x:alignment wrapText="1"/>
    </x:xf>
    <x:xf numFmtId="0" fontId="8" fillId="9" borderId="11" xfId="0" applyNumberFormat="1" applyFont="1" applyFill="1" applyBorder="1" applyAlignment="1">
      <x:alignment wrapText="1"/>
    </x:xf>
    <x:xf numFmtId="0" fontId="8" fillId="9" borderId="12" xfId="0" applyNumberFormat="1" applyFont="1" applyFill="1" applyBorder="1" applyAlignment="1">
      <x:alignment wrapText="1"/>
    </x:xf>
    <x:xf numFmtId="0" fontId="8" fillId="9" borderId="13" xfId="0" applyNumberFormat="1" applyFont="1" applyFill="1" applyBorder="1" applyAlignment="1">
      <x:alignment wrapText="1"/>
    </x:xf>
    <x:xf numFmtId="0" fontId="8" fillId="9" borderId="14" xfId="0" applyNumberFormat="1" applyFont="1" applyFill="1" applyBorder="1" applyAlignment="1">
      <x:alignment wrapText="1"/>
    </x:xf>
    <x:xf numFmtId="0" fontId="8" fillId="9" borderId="7" xfId="0" applyNumberFormat="1" applyFont="1" applyFill="1" applyBorder="1" applyAlignment="1">
      <x:alignment vertical="center" wrapText="1"/>
    </x:xf>
    <x:xf numFmtId="0" fontId="8" fillId="9" borderId="8" xfId="0" applyNumberFormat="1" applyFont="1" applyFill="1" applyBorder="1" applyAlignment="1">
      <x:alignment vertical="center" wrapText="1"/>
    </x:xf>
    <x:xf numFmtId="0" fontId="8" fillId="9" borderId="9" xfId="0" applyNumberFormat="1" applyFont="1" applyFill="1" applyBorder="1" applyAlignment="1">
      <x:alignment vertical="center" wrapText="1"/>
    </x:xf>
    <x:xf numFmtId="0" fontId="8" fillId="9" borderId="10" xfId="0" applyNumberFormat="1" applyFont="1" applyFill="1" applyBorder="1" applyAlignment="1">
      <x:alignment vertical="center" wrapText="1"/>
    </x:xf>
    <x:xf numFmtId="0" fontId="8" fillId="9" borderId="0" xfId="0" applyNumberFormat="1" applyFont="1" applyFill="1" applyBorder="1" applyAlignment="1">
      <x:alignment vertical="center" wrapText="1"/>
    </x:xf>
    <x:xf numFmtId="0" fontId="8" fillId="9" borderId="11" xfId="0" applyNumberFormat="1" applyFont="1" applyFill="1" applyBorder="1" applyAlignment="1">
      <x:alignment vertical="center" wrapText="1"/>
    </x:xf>
    <x:xf numFmtId="0" fontId="8" fillId="9" borderId="12" xfId="0" applyNumberFormat="1" applyFont="1" applyFill="1" applyBorder="1" applyAlignment="1">
      <x:alignment vertical="center" wrapText="1"/>
    </x:xf>
    <x:xf numFmtId="0" fontId="8" fillId="9" borderId="13" xfId="0" applyNumberFormat="1" applyFont="1" applyFill="1" applyBorder="1" applyAlignment="1">
      <x:alignment vertical="center" wrapText="1"/>
    </x:xf>
    <x:xf numFmtId="0" fontId="8" fillId="9" borderId="14" xfId="0" applyNumberFormat="1" applyFont="1" applyFill="1" applyBorder="1" applyAlignment="1">
      <x:alignment vertical="center" wrapText="1"/>
    </x:xf>
    <x:xf numFmtId="0" fontId="9" fillId="2" borderId="0" xfId="0" applyNumberFormat="1" applyFont="1" applyFill="1" applyBorder="1"/>
    <x:xf numFmtId="0" fontId="9" fillId="2" borderId="0" xfId="0" applyNumberFormat="1" applyFont="1" applyFill="1" applyBorder="1" applyAlignment="1">
      <x:alignment vertical="center"/>
    </x:xf>
    <x:xf numFmtId="0" fontId="10" fillId="3" borderId="0" xfId="0" applyNumberFormat="1" applyFont="1" applyFill="1" applyBorder="1"/>
    <x:xf numFmtId="0" fontId="10" fillId="3" borderId="0" xfId="0" applyNumberFormat="1" applyFont="1" applyFill="1" applyBorder="1" applyAlignment="1">
      <x:alignment wrapText="1"/>
    </x:xf>
    <x:xf numFmtId="0" fontId="10" fillId="3" borderId="0" xfId="0" applyNumberFormat="1" applyFont="1" applyFill="1" applyBorder="1" applyAlignment="1">
      <x:alignment vertical="center" wrapText="1"/>
    </x:xf>
    <x:xf numFmtId="0" fontId="11" fillId="5" borderId="0" xfId="0" applyNumberFormat="1" applyFont="1" applyFill="1" applyBorder="1"/>
    <x:xf numFmtId="0" fontId="11" fillId="5" borderId="0" xfId="0" applyNumberFormat="1" applyFont="1" applyFill="1" applyBorder="1" applyAlignment="1">
      <x:alignment wrapText="1"/>
    </x:xf>
    <x:xf numFmtId="0" fontId="11" fillId="5" borderId="0" xfId="0" applyNumberFormat="1" applyFont="1" applyFill="1" applyBorder="1" applyAlignment="1">
      <x:alignment vertical="center" wrapText="1"/>
    </x:xf>
    <x:xf numFmtId="0" fontId="12" fillId="0" borderId="0" xfId="0" applyNumberFormat="1" applyFont="1" applyFill="1" applyBorder="1"/>
    <x:xf numFmtId="0" fontId="12" fillId="0" borderId="1" xfId="0" applyNumberFormat="1" applyFont="1" applyFill="1" applyBorder="1"/>
    <x:xf numFmtId="0" fontId="12" fillId="0" borderId="2" xfId="0" applyNumberFormat="1" applyFont="1" applyFill="1" applyBorder="1"/>
    <x:xf numFmtId="0" fontId="12" fillId="0" borderId="3" xfId="0" applyNumberFormat="1" applyFont="1" applyFill="1" applyBorder="1"/>
    <x:xf numFmtId="0" fontId="12" fillId="0" borderId="1" xfId="0" applyNumberFormat="1" applyFont="1" applyFill="1" applyBorder="1" applyAlignment="1">
      <x:alignment wrapText="1"/>
    </x:xf>
    <x:xf numFmtId="0" fontId="12" fillId="0" borderId="2" xfId="0" applyNumberFormat="1" applyFont="1" applyFill="1" applyBorder="1" applyAlignment="1">
      <x:alignment wrapText="1"/>
    </x:xf>
    <x:xf numFmtId="0" fontId="12" fillId="0" borderId="3" xfId="0" applyNumberFormat="1" applyFont="1" applyFill="1" applyBorder="1" applyAlignment="1">
      <x:alignment wrapText="1"/>
    </x:xf>
    <x:xf numFmtId="0" fontId="12" fillId="0" borderId="1" xfId="0" applyNumberFormat="1" applyFont="1" applyFill="1" applyBorder="1" applyAlignment="1">
      <x:alignment vertical="top" wrapText="1"/>
    </x:xf>
    <x:xf numFmtId="0" fontId="12" fillId="0" borderId="2" xfId="0" applyNumberFormat="1" applyFont="1" applyFill="1" applyBorder="1" applyAlignment="1">
      <x:alignment vertical="top" wrapText="1"/>
    </x:xf>
    <x:xf numFmtId="0" fontId="12" fillId="0" borderId="3"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wrapText="1"/>
    </x:xf>
    <x:xf numFmtId="0" fontId="13" fillId="0" borderId="1" xfId="0" applyNumberFormat="1" applyFont="1" applyFill="1" applyBorder="1" applyAlignment="1">
      <x:alignment vertical="top" wrapText="1"/>
    </x:xf>
    <x:xf numFmtId="0" fontId="13" fillId="0" borderId="2" xfId="0" applyNumberFormat="1" applyFont="1" applyFill="1" applyBorder="1" applyAlignment="1">
      <x:alignment vertical="top" wrapText="1"/>
    </x:xf>
    <x:xf numFmtId="0" fontId="13" fillId="0" borderId="3" xfId="0" applyNumberFormat="1" applyFont="1" applyFill="1" applyBorder="1" applyAlignment="1">
      <x:alignment vertical="top" wrapText="1"/>
    </x:xf>
  </x:cellXfs>
  <x:cellStyles count="1">
    <x:cellStyle name="Normal" xfId="0"/>
  </x:cellStyles>
  <x:dxfs count="8">
    <x:dxf>
      <x:font>
        <x:b/>
        <x:color rgb="FFB42318"/>
      </x:font>
      <x:fill>
        <x:patternFill>
          <x:bgColor rgb="FFFDE8E7"/>
        </x:patternFill>
      </x:fill>
    </x:dxf>
    <x:dxf>
      <x:font>
        <x:b/>
        <x:color rgb="FFC25B00"/>
      </x:font>
      <x:fill>
        <x:patternFill>
          <x:bgColor rgb="FFFCE8D5"/>
        </x:patternFill>
      </x:fill>
    </x:dxf>
    <x:dxf>
      <x:font>
        <x:b/>
        <x:color rgb="FF217346"/>
      </x:font>
      <x:fill>
        <x:patternFill>
          <x:bgColor rgb="FFE2F0D9"/>
        </x:patternFill>
      </x:fill>
    </x:dxf>
    <x:dxf>
      <x:font>
        <x:b/>
        <x:color rgb="FFB42318"/>
      </x:font>
      <x:fill>
        <x:patternFill>
          <x:bgColor rgb="FFFDE8E7"/>
        </x:patternFill>
      </x:fill>
    </x:dxf>
    <x:dxf>
      <x:font>
        <x:b/>
        <x:color rgb="FF5F6B7A"/>
      </x:font>
      <x:fill>
        <x:patternFill>
          <x:bgColor rgb="FFEEF1F4"/>
        </x:patternFill>
      </x:fill>
    </x:dxf>
    <x:dxf>
      <x:font>
        <x:b/>
        <x:color rgb="FFB42318"/>
      </x:font>
      <x:fill>
        <x:patternFill>
          <x:bgColor rgb="FFFDE8E7"/>
        </x:patternFill>
      </x:fill>
    </x:dxf>
    <x:dxf>
      <x:font>
        <x:b/>
        <x:color rgb="FF5F6B7A"/>
      </x:font>
      <x:fill>
        <x:patternFill>
          <x:bgColor rgb="FFEEF1F4"/>
        </x:patternFill>
      </x:fill>
    </x:dxf>
    <x:dxf>
      <x:font>
        <x:b/>
        <x:color rgb="FFB42318"/>
      </x:font>
      <x:fill>
        <x:patternFill>
          <x:bgColor rgb="FFFDE8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bc63f58757646fa" /><Relationship Type="http://schemas.openxmlformats.org/officeDocument/2006/relationships/theme" Target="/xl/theme/theme1.xml" Id="R4a8d8e26077c4a64" /><Relationship Type="http://schemas.openxmlformats.org/officeDocument/2006/relationships/sharedStrings" Target="/xl/sharedStrings.xml" Id="R39d10cd25acc4c7d" /><Relationship Type="http://schemas.openxmlformats.org/officeDocument/2006/relationships/worksheet" Target="/xl/worksheets/sheet1.xml" Id="R6ccb5f804981494c" /><Relationship Type="http://schemas.openxmlformats.org/officeDocument/2006/relationships/worksheet" Target="/xl/worksheets/sheet2.xml" Id="R302bef5e699d46f7" /><Relationship Type="http://schemas.openxmlformats.org/officeDocument/2006/relationships/worksheet" Target="/xl/worksheets/sheet3.xml" Id="R5024f3f4f6334bca" /><Relationship Type="http://schemas.openxmlformats.org/officeDocument/2006/relationships/worksheet" Target="/xl/worksheets/sheet4.xml" Id="R21e836b90ff94980" /><Relationship Type="http://schemas.openxmlformats.org/officeDocument/2006/relationships/worksheet" Target="/xl/worksheets/sheet5.xml" Id="R41887cffa4ef4e83" /><Relationship Type="http://schemas.openxmlformats.org/officeDocument/2006/relationships/worksheet" Target="/xl/worksheets/sheet6.xml" Id="Ra7eecf8939164808" /><Relationship Type="http://schemas.openxmlformats.org/officeDocument/2006/relationships/worksheet" Target="/xl/worksheets/sheet7.xml" Id="Ra45b3dbf3215444e" /><Relationship Type="http://schemas.openxmlformats.org/officeDocument/2006/relationships/worksheet" Target="/xl/worksheets/sheet8.xml" Id="Redb4f8a0f95d4777" /></Relationships>
</file>

<file path=xl/tables/table1.xml><?xml version="1.0" encoding="utf-8"?>
<x:table xmlns:x="http://schemas.openxmlformats.org/spreadsheetml/2006/main" id="1" name="LifecycleControlsTable" displayName="LifecycleControlsTable" ref="A4:T66" headerRowCount="1" totalsRowCount="0" totalsRowShown="0">
  <x:tableColumns count="20">
    <x:tableColumn id="1" name="Control ID"/>
    <x:tableColumn id="2" name="Lifecycle Stage"/>
    <x:tableColumn id="3" name="Statutory Procedure / Requirement"/>
    <x:tableColumn id="4" name="Trigger / Precondition"/>
    <x:tableColumn id="5" name="Accountable Statutory Actor"/>
    <x:tableColumn id="6" name="Participating Actor(s)"/>
    <x:tableColumn id="7" name="Mandatory Input / Prescribed Form"/>
    <x:tableColumn id="8" name="Required Decision / Action"/>
    <x:tableColumn id="9" name="Required Output / Record"/>
    <x:tableColumn id="10" name="KenTender System Control"/>
    <x:tableColumn id="11" name="Audit Evidence"/>
    <x:tableColumn id="12" name="Downstream Consumer"/>
    <x:tableColumn id="13" name="Act Reference"/>
    <x:tableColumn id="14" name="Regulation Reference"/>
    <x:tableColumn id="15" name="Schedule / PPRA Instrument"/>
    <x:tableColumn id="16" name="KenTender Module(s)"/>
    <x:tableColumn id="17" name="Current Coverage"/>
    <x:tableColumn id="18" name="Gap / Disposition"/>
    <x:tableColumn id="19" name="Source ID(s)"/>
    <x:tableColumn id="20" name="Interpretation / Notes"/>
  </x:tableColumns>
  <x:tableStyleInfo name="TableStyleMedium2" showFirstColumn="0" showLastColumn="0" showRowStripes="1" showColumnStripes="0"/>
</x:table>
</file>

<file path=xl/tables/table2.xml><?xml version="1.0" encoding="utf-8"?>
<x:table xmlns:x="http://schemas.openxmlformats.org/spreadsheetml/2006/main" id="2" name="RolesAuthorityTable" displayName="RolesAuthorityTable" ref="A4:K23" headerRowCount="1" totalsRowCount="0" totalsRowShown="0">
  <x:tableColumns count="11">
    <x:tableColumn id="1" name="Role ID"/>
    <x:tableColumn id="2" name="Role / Actor"/>
    <x:tableColumn id="3" name="Classification"/>
    <x:tableColumn id="4" name="Statutory / Operational Responsibility"/>
    <x:tableColumn id="5" name="Primary Source"/>
    <x:tableColumn id="6" name="Decisions / Actions"/>
    <x:tableColumn id="7" name="Inputs"/>
    <x:tableColumn id="8" name="Outputs / Records"/>
    <x:tableColumn id="9" name="KenTender Permission Model"/>
    <x:tableColumn id="10" name="Prohibited Assumption"/>
    <x:tableColumn id="11" name="Release Disposition"/>
  </x:tableColumns>
  <x:tableStyleInfo name="TableStyleMedium2" showFirstColumn="0" showLastColumn="0" showRowStripes="1" showColumnStripes="0"/>
</x:table>
</file>

<file path=xl/tables/table3.xml><?xml version="1.0" encoding="utf-8"?>
<x:table xmlns:x="http://schemas.openxmlformats.org/spreadsheetml/2006/main" id="3" name="FormsSchedulesTable" displayName="FormsSchedulesTable" ref="A4:K86" headerRowCount="1" totalsRowCount="0" totalsRowShown="0">
  <x:tableColumns count="11">
    <x:tableColumn id="1" name="Instrument ID"/>
    <x:tableColumn id="2" name="Source / Register"/>
    <x:tableColumn id="3" name="Title"/>
    <x:tableColumn id="4" name="Trigger / Lifecycle Use"/>
    <x:tableColumn id="5" name="Authority / Currency"/>
    <x:tableColumn id="6" name="Governing Reference"/>
    <x:tableColumn id="7" name="Required System Representation"/>
    <x:tableColumn id="8" name="KenTender Module"/>
    <x:tableColumn id="9" name="Current Coverage"/>
    <x:tableColumn id="10" name="Source ID(s)"/>
    <x:tableColumn id="11" name="Control Note"/>
  </x:tableColumns>
  <x:tableStyleInfo name="TableStyleMedium2" showFirstColumn="0" showLastColumn="0" showRowStripes="1" showColumnStripes="0"/>
</x:table>
</file>

<file path=xl/tables/table4.xml><?xml version="1.0" encoding="utf-8"?>
<x:table xmlns:x="http://schemas.openxmlformats.org/spreadsheetml/2006/main" id="4" name="MethodsGatesTable" displayName="MethodsGatesTable" ref="A4:J18" headerRowCount="1" totalsRowCount="0" totalsRowShown="0">
  <x:tableColumns count="10">
    <x:tableColumn id="1" name="Method ID"/>
    <x:tableColumn id="2" name="Procurement Method"/>
    <x:tableColumn id="3" name="Admission Rule"/>
    <x:tableColumn id="4" name="Trigger / Preconditions"/>
    <x:tableColumn id="5" name="Primary Authority Pattern"/>
    <x:tableColumn id="6" name="Legal / Threshold Source"/>
    <x:tableColumn id="7" name="Mandatory Records"/>
    <x:tableColumn id="8" name="KenTender Gate"/>
    <x:tableColumn id="9" name="Release Treatment"/>
    <x:tableColumn id="10" name="Source ID(s)"/>
  </x:tableColumns>
  <x:tableStyleInfo name="TableStyleMedium2" showFirstColumn="0" showLastColumn="0" showRowStripes="1" showColumnStripes="0"/>
</x:table>
</file>

<file path=xl/tables/table5.xml><?xml version="1.0" encoding="utf-8"?>
<x:table xmlns:x="http://schemas.openxmlformats.org/spreadsheetml/2006/main" id="5" name="GapRegisterTable" displayName="GapRegisterTable" ref="A4:L32" headerRowCount="1" totalsRowCount="0" totalsRowShown="0">
  <x:tableColumns count="12">
    <x:tableColumn id="1" name="Gap ID"/>
    <x:tableColumn id="2" name="Related Control IDs"/>
    <x:tableColumn id="3" name="Affected Module(s)"/>
    <x:tableColumn id="4" name="Finding"/>
    <x:tableColumn id="5" name="Severity"/>
    <x:tableColumn id="6" name="Risk"/>
    <x:tableColumn id="7" name="MVP Disposition"/>
    <x:tableColumn id="8" name="Required Correction"/>
    <x:tableColumn id="9" name="Governing Revision Ledger"/>
    <x:tableColumn id="10" name="Status"/>
    <x:tableColumn id="11" name="Owner"/>
    <x:tableColumn id="12" name="Evidence / Source"/>
  </x:tableColumns>
  <x:tableStyleInfo name="TableStyleMedium2" showFirstColumn="0" showLastColumn="0" showRowStripes="1" showColumnStripes="0"/>
</x:table>
</file>

<file path=xl/tables/table6.xml><?xml version="1.0" encoding="utf-8"?>
<x:table xmlns:x="http://schemas.openxmlformats.org/spreadsheetml/2006/main" id="6" name="SourcesTable" displayName="SourcesTable" ref="A4:H16" headerRowCount="1" totalsRowCount="0" totalsRowShown="0">
  <x:tableColumns count="8">
    <x:tableColumn id="1" name="Source ID"/>
    <x:tableColumn id="2" name="Authority Type"/>
    <x:tableColumn id="3" name="Title"/>
    <x:tableColumn id="4" name="Version / Review Date"/>
    <x:tableColumn id="5" name="Scope / Use"/>
    <x:tableColumn id="6" name="URL / Resource"/>
    <x:tableColumn id="7" name="Publisher / Owner"/>
    <x:tableColumn id="8" name="Control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887081a665f4629" /></Relationships>
</file>

<file path=xl/worksheets/_rels/sheet3.xml.rels>&#65279;<?xml version="1.0" encoding="utf-8"?><Relationships xmlns="http://schemas.openxmlformats.org/package/2006/relationships"><Relationship Type="http://schemas.openxmlformats.org/officeDocument/2006/relationships/table" Target="/xl/tables/table2.xml" Id="R396d5be1e70347eb" /></Relationships>
</file>

<file path=xl/worksheets/_rels/sheet4.xml.rels>&#65279;<?xml version="1.0" encoding="utf-8"?><Relationships xmlns="http://schemas.openxmlformats.org/package/2006/relationships"><Relationship Type="http://schemas.openxmlformats.org/officeDocument/2006/relationships/table" Target="/xl/tables/table3.xml" Id="R8a3be7141331408d" /></Relationships>
</file>

<file path=xl/worksheets/_rels/sheet5.xml.rels>&#65279;<?xml version="1.0" encoding="utf-8"?><Relationships xmlns="http://schemas.openxmlformats.org/package/2006/relationships"><Relationship Type="http://schemas.openxmlformats.org/officeDocument/2006/relationships/table" Target="/xl/tables/table4.xml" Id="Raac4cc849a134e55" /></Relationships>
</file>

<file path=xl/worksheets/_rels/sheet6.xml.rels>&#65279;<?xml version="1.0" encoding="utf-8"?><Relationships xmlns="http://schemas.openxmlformats.org/package/2006/relationships"><Relationship Type="http://schemas.openxmlformats.org/officeDocument/2006/relationships/table" Target="/xl/tables/table5.xml" Id="R7f03aa1c7cd34c80" /></Relationships>
</file>

<file path=xl/worksheets/_rels/sheet7.xml.rels>&#65279;<?xml version="1.0" encoding="utf-8"?><Relationships xmlns="http://schemas.openxmlformats.org/package/2006/relationships"><Relationship Type="http://schemas.openxmlformats.org/officeDocument/2006/relationships/table" Target="/xl/tables/table6.xml" Id="R7c5925367a7b445c"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58" hidden="0" customWidth="1"/>
    <x:col min="3" max="3" width="4" hidden="0" customWidth="1"/>
    <x:col min="4" max="4" width="30" hidden="0" customWidth="1"/>
    <x:col min="5" max="5" width="16" hidden="0" customWidth="1"/>
    <x:col min="6" max="6" width="16" hidden="0" customWidth="1"/>
    <x:col min="7" max="7" width="16" hidden="0" customWidth="1"/>
    <x:col min="8" max="8" width="16" hidden="0" customWidth="1"/>
  </x:cols>
  <x:sheetData>
    <x:row r="1" ht="36" customHeight="1">
      <x:c r="A1" s="3" t="str">
        <x:v>KenTender Statutory Procedure, Forms and System Control Matrix</x:v>
      </x:c>
      <x:c r="B1" s="3"/>
      <x:c r="C1" s="3"/>
      <x:c r="D1" s="3"/>
      <x:c r="E1" s="3"/>
      <x:c r="F1" s="3"/>
      <x:c r="G1" s="3"/>
      <x:c r="H1" s="3"/>
    </x:row>
    <x:row r="2" ht="30" customHeight="1">
      <x:c r="A2" s="6" t="str">
        <x:v>Controlled baseline v1.1 — corrected Departmental Need → Planning → Approved Plan Item → Procurement Requisition boundary</x:v>
      </x:c>
      <x:c r="B2" s="6"/>
      <x:c r="C2" s="6"/>
      <x:c r="D2" s="6"/>
      <x:c r="E2" s="6"/>
      <x:c r="F2" s="6"/>
      <x:c r="G2" s="6"/>
      <x:c r="H2" s="6"/>
    </x:row>
    <x:row r="4">
      <x:c r="A4" s="9" t="str">
        <x:v>Document status</x:v>
      </x:c>
      <x:c r="B4" s="13" t="str">
        <x:v>Controlled baseline for legal and product review; v1.1 lifecycle-boundary correction</x:v>
      </x:c>
      <x:c r="D4" s="17" t="str">
        <x:v>Control summary</x:v>
      </x:c>
      <x:c r="E4" s="17" t="str">
        <x:v>Count</x:v>
      </x:c>
    </x:row>
    <x:row r="5">
      <x:c r="A5" s="9" t="str">
        <x:v>Revision</x:v>
      </x:c>
      <x:c r="B5" s="14" t="str">
        <x:v>1.1</x:v>
      </x:c>
      <x:c r="D5" s="8" t="str">
        <x:v>Lifecycle controls</x:v>
      </x:c>
      <x:c r="E5" s="23" t="n">
        <x:f>COUNTA('Lifecycle Controls'!$A$5:$A$66)</x:f>
        <x:v>62</x:v>
      </x:c>
    </x:row>
    <x:row r="6">
      <x:c r="A6" s="9" t="str">
        <x:v>Baseline date</x:v>
      </x:c>
      <x:c r="B6" s="14" t="str">
        <x:v>18 August 2026</x:v>
      </x:c>
      <x:c r="D6" s="8" t="str">
        <x:v>Critical gaps</x:v>
      </x:c>
      <x:c r="E6" s="24" t="n">
        <x:f>COUNTIF('Gap Register'!$E$5:$E$32,"Critical")</x:f>
        <x:v>22</x:v>
      </x:c>
    </x:row>
    <x:row r="7">
      <x:c r="A7" s="9" t="str">
        <x:v>Jurisdiction</x:v>
      </x:c>
      <x:c r="B7" s="14" t="str">
        <x:v>Kenya</x:v>
      </x:c>
      <x:c r="D7" s="8" t="str">
        <x:v>MVP-1 release blockers</x:v>
      </x:c>
      <x:c r="E7" s="24" t="n">
        <x:f>COUNTIF('Gap Register'!$G$5:$G$32,"Must close before MVP-1 release")</x:f>
        <x:v>9</x:v>
      </x:c>
    </x:row>
    <x:row r="8">
      <x:c r="A8" s="9" t="str">
        <x:v>Principal instruments</x:v>
      </x:c>
      <x:c r="B8" s="14" t="str">
        <x:v>PPADA Act, 2015 and PPADA Regulations, 2020 (consolidated to 31 December 2022)</x:v>
      </x:c>
      <x:c r="D8" s="8" t="str">
        <x:v>Prescribed/current instruments</x:v>
      </x:c>
      <x:c r="E8" s="25" t="n">
        <x:f>COUNTA('Forms &amp; Schedules'!$A$5:$A$86)</x:f>
        <x:v>82</x:v>
      </x:c>
    </x:row>
    <x:row r="9">
      <x:c r="A9" s="9" t="str">
        <x:v>Documentation standard</x:v>
      </x:c>
      <x:c r="B9" s="14" t="str">
        <x:v>Integrated revision-ledger change units; legacy split Requirements/Stitch/Implementation/Data packs are historical evidence only</x:v>
      </x:c>
    </x:row>
    <x:row r="10">
      <x:c r="A10" s="9" t="str">
        <x:v>Legal status</x:v>
      </x:c>
      <x:c r="B10" s="15" t="str">
        <x:v>Product-control mapping; final legal validation is required before production release</x:v>
      </x:c>
    </x:row>
    <x:row r="12">
      <x:c r="A12" s="27" t="str">
        <x:v>How to use this workbook</x:v>
      </x:c>
      <x:c r="B12" s="27"/>
      <x:c r="C12" s="27"/>
      <x:c r="D12" s="27"/>
      <x:c r="E12" s="27"/>
      <x:c r="F12" s="27"/>
      <x:c r="G12" s="27"/>
      <x:c r="H12" s="27"/>
    </x:row>
    <x:row r="13" ht="28" customHeight="1">
      <x:c r="A13" s="32" t="str">
        <x:v>1. Start with Lifecycle Controls: identify every control applicable to the module/change unit.</x:v>
      </x:c>
      <x:c r="B13" s="32"/>
      <x:c r="C13" s="32"/>
      <x:c r="D13" s="32"/>
      <x:c r="E13" s="32"/>
      <x:c r="F13" s="32"/>
      <x:c r="G13" s="32"/>
      <x:c r="H13" s="32"/>
    </x:row>
    <x:row r="14" ht="28" customHeight="1">
      <x:c r="A14" s="33" t="str">
        <x:v>2. Use Roles &amp; Authority to distinguish statutory decision authority from product roles, delegation, assignment and read-only support.</x:v>
      </x:c>
      <x:c r="B14" s="33"/>
      <x:c r="C14" s="33"/>
      <x:c r="D14" s="33"/>
      <x:c r="E14" s="33"/>
      <x:c r="F14" s="33"/>
      <x:c r="G14" s="33"/>
      <x:c r="H14" s="33"/>
    </x:row>
    <x:row r="15" ht="28" customHeight="1">
      <x:c r="A15" s="33" t="str">
        <x:v>3. Use Forms &amp; Schedules as the data-contract register; confirm the active PPRA version before implementation.</x:v>
      </x:c>
      <x:c r="B15" s="33"/>
      <x:c r="C15" s="33"/>
      <x:c r="D15" s="33"/>
      <x:c r="E15" s="33"/>
      <x:c r="F15" s="33"/>
      <x:c r="G15" s="33"/>
      <x:c r="H15" s="33"/>
    </x:row>
    <x:row r="16" ht="28" customHeight="1">
      <x:c r="A16" s="33" t="str">
        <x:v>4. Use Methods &amp; Gates as a fail-closed routing catalogue. MVP-1 may support Open tender only; unsupported methods must not be guessed or silently accepted.</x:v>
      </x:c>
      <x:c r="B16" s="33"/>
      <x:c r="C16" s="33"/>
      <x:c r="D16" s="33"/>
      <x:c r="E16" s="33"/>
      <x:c r="F16" s="33"/>
      <x:c r="G16" s="33"/>
      <x:c r="H16" s="33"/>
    </x:row>
    <x:row r="17" ht="28" customHeight="1">
      <x:c r="A17" s="33" t="str">
        <x:v>5. Use Gap Register to decide release scope. “Deferred” means the capability must remain unavailable and must not be represented as compliant.</x:v>
      </x:c>
      <x:c r="B17" s="33"/>
      <x:c r="C17" s="33"/>
      <x:c r="D17" s="33"/>
      <x:c r="E17" s="33"/>
      <x:c r="F17" s="33"/>
      <x:c r="G17" s="33"/>
      <x:c r="H17" s="33"/>
    </x:row>
    <x:row r="18" ht="28" customHeight="1">
      <x:c r="A18" s="34" t="str">
        <x:v>6. Each approved change must be one integrated ledger unit containing requirements, static screen design, implementation controls, seed/test data and acceptance criteria.</x:v>
      </x:c>
      <x:c r="B18" s="34"/>
      <x:c r="C18" s="34"/>
      <x:c r="D18" s="34"/>
      <x:c r="E18" s="34"/>
      <x:c r="F18" s="34"/>
      <x:c r="G18" s="34"/>
      <x:c r="H18" s="34"/>
    </x:row>
    <x:row r="20">
      <x:c r="A20" s="36" t="str">
        <x:v>Source hierarchy and interpretation boundary</x:v>
      </x:c>
      <x:c r="B20" s="36"/>
      <x:c r="C20" s="36"/>
      <x:c r="D20" s="36"/>
      <x:c r="E20" s="36"/>
      <x:c r="F20" s="36"/>
      <x:c r="G20" s="36"/>
      <x:c r="H20" s="36"/>
    </x:row>
    <x:row r="21" ht="26" customHeight="1">
      <x:c r="A21" s="32" t="str">
        <x:v>1. Constitution and Act — controlling primary law.</x:v>
      </x:c>
      <x:c r="B21" s="32"/>
      <x:c r="C21" s="32"/>
      <x:c r="D21" s="32"/>
      <x:c r="E21" s="32"/>
      <x:c r="F21" s="32"/>
      <x:c r="G21" s="32"/>
      <x:c r="H21" s="32"/>
    </x:row>
    <x:row r="22" ht="26" customHeight="1">
      <x:c r="A22" s="33" t="str">
        <x:v>2. Regulations and prescribed schedules/forms — controlling procedure and data requirements.</x:v>
      </x:c>
      <x:c r="B22" s="33"/>
      <x:c r="C22" s="33"/>
      <x:c r="D22" s="33"/>
      <x:c r="E22" s="33"/>
      <x:c r="F22" s="33"/>
      <x:c r="G22" s="33"/>
      <x:c r="H22" s="33"/>
    </x:row>
    <x:row r="23" ht="26" customHeight="1">
      <x:c r="A23" s="33" t="str">
        <x:v>3. Current PPRA standard documents, formats, circulars and guidelines — controlling regulatory instruments within their authority.</x:v>
      </x:c>
      <x:c r="B23" s="33"/>
      <x:c r="C23" s="33"/>
      <x:c r="D23" s="33"/>
      <x:c r="E23" s="33"/>
      <x:c r="F23" s="33"/>
      <x:c r="G23" s="33"/>
      <x:c r="H23" s="33"/>
    </x:row>
    <x:row r="24" ht="26" customHeight="1">
      <x:c r="A24" s="33" t="str">
        <x:v>4. Applicable PFM law and valid PE delegation — controlling financial authority and commitment/payment interface.</x:v>
      </x:c>
      <x:c r="B24" s="33"/>
      <x:c r="C24" s="33"/>
      <x:c r="D24" s="33"/>
      <x:c r="E24" s="33"/>
      <x:c r="F24" s="33"/>
      <x:c r="G24" s="33"/>
      <x:c r="H24" s="33"/>
    </x:row>
    <x:row r="25" ht="26" customHeight="1">
      <x:c r="A25" s="33" t="str">
        <x:v>5. KenTender policy/configuration — allowed only where the law is silent and may not weaken a statutory control.</x:v>
      </x:c>
      <x:c r="B25" s="33"/>
      <x:c r="C25" s="33"/>
      <x:c r="D25" s="33"/>
      <x:c r="E25" s="33"/>
      <x:c r="F25" s="33"/>
      <x:c r="G25" s="33"/>
      <x:c r="H25" s="33"/>
    </x:row>
    <x:row r="26" ht="26" customHeight="1">
      <x:c r="A26" s="34" t="str">
        <x:v>6. Existing documentation, code and seed data — coverage evidence only; never a source of legal authority.</x:v>
      </x:c>
      <x:c r="B26" s="34"/>
      <x:c r="C26" s="34"/>
      <x:c r="D26" s="34"/>
      <x:c r="E26" s="34"/>
      <x:c r="F26" s="34"/>
      <x:c r="G26" s="34"/>
      <x:c r="H26" s="34"/>
    </x:row>
    <x:row r="28">
      <x:c r="A28" s="56" t="str">
        <x:v>Important: This workbook is a product-control and traceability baseline, not a substitute for formal legal advice. Before production release, counsel/compliance must validate the current consolidated law, PPRA instruments, the procuring entity's legal type, applicable PFM regime, delegations and any intervening amendments. Any uncertainty must fail closed in the affected capability.</x:v>
      </x:c>
      <x:c r="B28" s="57"/>
      <x:c r="C28" s="57"/>
      <x:c r="D28" s="57"/>
      <x:c r="E28" s="57"/>
      <x:c r="F28" s="57"/>
      <x:c r="G28" s="57"/>
      <x:c r="H28" s="58"/>
    </x:row>
    <x:row r="29">
      <x:c r="A29" s="59"/>
      <x:c r="B29" s="60"/>
      <x:c r="C29" s="60"/>
      <x:c r="D29" s="60"/>
      <x:c r="E29" s="60"/>
      <x:c r="F29" s="60"/>
      <x:c r="G29" s="60"/>
      <x:c r="H29" s="61"/>
    </x:row>
    <x:row r="30">
      <x:c r="A30" s="62"/>
      <x:c r="B30" s="63"/>
      <x:c r="C30" s="63"/>
      <x:c r="D30" s="63"/>
      <x:c r="E30" s="63"/>
      <x:c r="F30" s="63"/>
      <x:c r="G30" s="63"/>
      <x:c r="H30" s="64"/>
    </x:row>
  </x:sheetData>
  <x:mergeCells>
    <x:mergeCell ref="A1:H1"/>
    <x:mergeCell ref="A2:H2"/>
    <x:mergeCell ref="A12:H12"/>
    <x:mergeCell ref="A13:H13"/>
    <x:mergeCell ref="A14:H14"/>
    <x:mergeCell ref="A15:H15"/>
    <x:mergeCell ref="A16:H16"/>
    <x:mergeCell ref="A17:H17"/>
    <x:mergeCell ref="A18:H18"/>
    <x:mergeCell ref="A20:H20"/>
    <x:mergeCell ref="A21:H21"/>
    <x:mergeCell ref="A22:H22"/>
    <x:mergeCell ref="A23:H23"/>
    <x:mergeCell ref="A24:H24"/>
    <x:mergeCell ref="A25:H25"/>
    <x:mergeCell ref="A26:H26"/>
    <x:mergeCell ref="A28:H3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42" hidden="0" customWidth="1"/>
    <x:col min="4" max="4" width="30" hidden="0" customWidth="1"/>
    <x:col min="5" max="5" width="25" hidden="0" customWidth="1"/>
    <x:col min="6" max="6" width="28" hidden="0" customWidth="1"/>
    <x:col min="7" max="7" width="38" hidden="0" customWidth="1"/>
    <x:col min="8" max="8" width="38" hidden="0" customWidth="1"/>
    <x:col min="9" max="9" width="32" hidden="0" customWidth="1"/>
    <x:col min="10" max="10" width="46" hidden="0" customWidth="1"/>
    <x:col min="11" max="11" width="34" hidden="0" customWidth="1"/>
    <x:col min="12" max="12" width="25" hidden="0" customWidth="1"/>
    <x:col min="13" max="13" width="18" hidden="0" customWidth="1"/>
    <x:col min="14" max="14" width="22" hidden="0" customWidth="1"/>
    <x:col min="15" max="15" width="28" hidden="0" customWidth="1"/>
    <x:col min="16" max="16" width="28" hidden="0" customWidth="1"/>
    <x:col min="17" max="17" width="22" hidden="0" customWidth="1"/>
    <x:col min="18" max="18" width="24" hidden="0" customWidth="1"/>
    <x:col min="19" max="19" width="18" hidden="0" customWidth="1"/>
    <x:col min="20" max="20" width="38" hidden="0" customWidth="1"/>
  </x:cols>
  <x:sheetData>
    <x:row r="1" ht="32" customHeight="1">
      <x:c r="A1" s="66" t="str">
        <x:v>Lifecycle Controls</x:v>
      </x:c>
      <x:c r="B1" s="66"/>
      <x:c r="C1" s="66"/>
      <x:c r="D1" s="66"/>
      <x:c r="E1" s="66"/>
      <x:c r="F1" s="66"/>
      <x:c r="G1" s="66"/>
      <x:c r="H1" s="66"/>
      <x:c r="I1" s="66"/>
      <x:c r="J1" s="66"/>
      <x:c r="K1" s="66"/>
      <x:c r="L1" s="66"/>
      <x:c r="M1" s="66"/>
      <x:c r="N1" s="66"/>
      <x:c r="O1" s="66"/>
      <x:c r="P1" s="66"/>
      <x:c r="Q1" s="66"/>
      <x:c r="R1" s="66"/>
      <x:c r="S1" s="66"/>
      <x:c r="T1" s="66"/>
    </x:row>
    <x:row r="2" ht="30" customHeight="1">
      <x:c r="A2" s="69" t="str">
        <x:v>End-to-end statutory procedures mapped to actors, prescribed inputs/records, KenTender enforcement and release disposition. Filter by stage, module, coverage or disposition.</x:v>
      </x:c>
      <x:c r="B2" s="69"/>
      <x:c r="C2" s="69"/>
      <x:c r="D2" s="69"/>
      <x:c r="E2" s="69"/>
      <x:c r="F2" s="69"/>
      <x:c r="G2" s="69"/>
      <x:c r="H2" s="69"/>
      <x:c r="I2" s="69"/>
      <x:c r="J2" s="69"/>
      <x:c r="K2" s="69"/>
      <x:c r="L2" s="69"/>
      <x:c r="M2" s="69"/>
      <x:c r="N2" s="69"/>
      <x:c r="O2" s="69"/>
      <x:c r="P2" s="69"/>
      <x:c r="Q2" s="69"/>
      <x:c r="R2" s="69"/>
      <x:c r="S2" s="69"/>
      <x:c r="T2" s="69"/>
    </x:row>
    <x:row r="4" ht="34" customHeight="1">
      <x:c r="A4" s="72" t="str">
        <x:v>Control ID</x:v>
      </x:c>
      <x:c r="B4" s="72" t="str">
        <x:v>Lifecycle Stage</x:v>
      </x:c>
      <x:c r="C4" s="72" t="str">
        <x:v>Statutory Procedure / Requirement</x:v>
      </x:c>
      <x:c r="D4" s="72" t="str">
        <x:v>Trigger / Precondition</x:v>
      </x:c>
      <x:c r="E4" s="72" t="str">
        <x:v>Accountable Statutory Actor</x:v>
      </x:c>
      <x:c r="F4" s="72" t="str">
        <x:v>Participating Actor(s)</x:v>
      </x:c>
      <x:c r="G4" s="72" t="str">
        <x:v>Mandatory Input / Prescribed Form</x:v>
      </x:c>
      <x:c r="H4" s="72" t="str">
        <x:v>Required Decision / Action</x:v>
      </x:c>
      <x:c r="I4" s="72" t="str">
        <x:v>Required Output / Record</x:v>
      </x:c>
      <x:c r="J4" s="72" t="str">
        <x:v>KenTender System Control</x:v>
      </x:c>
      <x:c r="K4" s="72" t="str">
        <x:v>Audit Evidence</x:v>
      </x:c>
      <x:c r="L4" s="72" t="str">
        <x:v>Downstream Consumer</x:v>
      </x:c>
      <x:c r="M4" s="72" t="str">
        <x:v>Act Reference</x:v>
      </x:c>
      <x:c r="N4" s="72" t="str">
        <x:v>Regulation Reference</x:v>
      </x:c>
      <x:c r="O4" s="72" t="str">
        <x:v>Schedule / PPRA Instrument</x:v>
      </x:c>
      <x:c r="P4" s="72" t="str">
        <x:v>KenTender Module(s)</x:v>
      </x:c>
      <x:c r="Q4" s="72" t="str">
        <x:v>Current Coverage</x:v>
      </x:c>
      <x:c r="R4" s="72" t="str">
        <x:v>Gap / Disposition</x:v>
      </x:c>
      <x:c r="S4" s="72" t="str">
        <x:v>Source ID(s)</x:v>
      </x:c>
      <x:c r="T4" s="72" t="str">
        <x:v>Interpretation / Notes</x:v>
      </x:c>
    </x:row>
    <x:row r="5" ht="72" customHeight="1">
      <x:c r="A5" s="85" t="str">
        <x:v>CTL-001</x:v>
      </x:c>
      <x:c r="B5" s="80" t="str">
        <x:v>Governance</x:v>
      </x:c>
      <x:c r="C5" s="80" t="str">
        <x:v>Apply Article 227 procurement principles to every system-controlled procurement decision.</x:v>
      </x:c>
      <x:c r="D5" s="80" t="str">
        <x:v>Any procurement or asset-disposal activity.</x:v>
      </x:c>
      <x:c r="E5" s="80" t="str">
        <x:v>Accounting Officer</x:v>
      </x:c>
      <x:c r="F5" s="80" t="str">
        <x:v>All public officers and committees</x:v>
      </x:c>
      <x:c r="G5" s="80" t="str">
        <x:v>Approved policy and current legal catalogue</x:v>
      </x:c>
      <x:c r="H5" s="80" t="str">
        <x:v>Ensure fairness, equity, transparency, competition and cost-effectiveness.</x:v>
      </x:c>
      <x:c r="I5" s="80" t="str">
        <x:v>Auditable decision record</x:v>
      </x:c>
      <x:c r="J5" s="80" t="str">
        <x:v>Every workflow command records actor, scope, authority, inputs, outcome and timestamp; configuration cannot bypass mandatory controls.</x:v>
      </x:c>
      <x:c r="K5" s="80" t="str">
        <x:v>Immutable audit trail and decision snapshot</x:v>
      </x:c>
      <x:c r="L5" s="80" t="str">
        <x:v>All modules</x:v>
      </x:c>
      <x:c r="M5" s="80" t="str">
        <x:v>ss. 3, 44–45</x:v>
      </x:c>
      <x:c r="N5" s="80" t="str">
        <x:v>rr. 4, 23</x:v>
      </x:c>
      <x:c r="O5" s="80" t="str">
        <x:v>Article 227</x:v>
      </x:c>
      <x:c r="P5" s="80" t="str">
        <x:v>Shared platform</x:v>
      </x:c>
      <x:c r="Q5" s="80" t="str">
        <x:v>Partially documented</x:v>
      </x:c>
      <x:c r="R5" s="80" t="str">
        <x:v>MVP-1 release gate</x:v>
      </x:c>
      <x:c r="S5" s="80" t="str">
        <x:v>SRC-001; SRC-002; SRC-003</x:v>
      </x:c>
      <x:c r="T5" s="80" t="str">
        <x:v>Principle is statutory; exact technical implementation is KenTender policy.</x:v>
      </x:c>
    </x:row>
    <x:row r="6" ht="72" customHeight="1">
      <x:c r="A6" s="86" t="str">
        <x:v>CTL-002</x:v>
      </x:c>
      <x:c r="B6" s="81" t="str">
        <x:v>Governance</x:v>
      </x:c>
      <x:c r="C6" s="81" t="str">
        <x:v>Maintain one current, versioned catalogue of statutory rules, thresholds, prescribed forms and PPRA instruments.</x:v>
      </x:c>
      <x:c r="D6" s="81" t="str">
        <x:v>Legal or regulatory instrument is issued, amended or withdrawn.</x:v>
      </x:c>
      <x:c r="E6" s="81" t="str">
        <x:v>Accounting Officer</x:v>
      </x:c>
      <x:c r="F6" s="81" t="str">
        <x:v>Head of Procurement Function; System Administrator</x:v>
      </x:c>
      <x:c r="G6" s="81" t="str">
        <x:v>Official Kenya Law/PPRA source and effective date</x:v>
      </x:c>
      <x:c r="H6" s="81" t="str">
        <x:v>Review, approve and activate a new compliance-catalogue version without rewriting historical proceedings.</x:v>
      </x:c>
      <x:c r="I6" s="81" t="str">
        <x:v>Versioned compliance catalogue</x:v>
      </x:c>
      <x:c r="J6" s="81" t="str">
        <x:v>Pin each proceeding to the rule/form version effective for it; preserve superseded versions read-only.</x:v>
      </x:c>
      <x:c r="K6" s="81" t="str">
        <x:v>Source URL, effective date, approver, checksum/version</x:v>
      </x:c>
      <x:c r="L6" s="81" t="str">
        <x:v>All modules</x:v>
      </x:c>
      <x:c r="M6" s="81" t="str">
        <x:v>ss. 9, 44, 58, 70</x:v>
      </x:c>
      <x:c r="N6" s="81" t="str">
        <x:v>rr. 26, 68</x:v>
      </x:c>
      <x:c r="O6" s="81" t="str">
        <x:v>Second/Eighth Schedules; PPRA circulars</x:v>
      </x:c>
      <x:c r="P6" s="81" t="str">
        <x:v>STD Administration; Shared platform</x:v>
      </x:c>
      <x:c r="Q6" s="81" t="str">
        <x:v>Missing</x:v>
      </x:c>
      <x:c r="R6" s="81" t="str">
        <x:v>MVP-1 release gate</x:v>
      </x:c>
      <x:c r="S6" s="81" t="str">
        <x:v>SRC-002; SRC-003; SRC-004; SRC-005</x:v>
      </x:c>
      <x:c r="T6" s="81" t="str">
        <x:v>Do not infer law from UI copy or seed data.</x:v>
      </x:c>
    </x:row>
    <x:row r="7" ht="72" customHeight="1">
      <x:c r="A7" s="86" t="str">
        <x:v>CTL-003</x:v>
      </x:c>
      <x:c r="B7" s="81" t="str">
        <x:v>Governance</x:v>
      </x:c>
      <x:c r="C7" s="81" t="str">
        <x:v>Separate statutory authority, delegated authority, operational assignment and read-only support access.</x:v>
      </x:c>
      <x:c r="D7" s="81" t="str">
        <x:v>User authenticates or a workflow task is created.</x:v>
      </x:c>
      <x:c r="E7" s="81" t="str">
        <x:v>Accounting Officer</x:v>
      </x:c>
      <x:c r="F7" s="81" t="str">
        <x:v>Head of Procurement Function; Heads of User Departments; System Administrator</x:v>
      </x:c>
      <x:c r="G7" s="81" t="str">
        <x:v>Role appointment/delegation, PE scope, effective dates, task assignment</x:v>
      </x:c>
      <x:c r="H7" s="81" t="str">
        <x:v>Resolve the actor and exact permitted command for the record; fail closed on missing or ambiguous routing.</x:v>
      </x:c>
      <x:c r="I7" s="81" t="str">
        <x:v>Authorization decision and task assignment</x:v>
      </x:c>
      <x:c r="J7" s="81" t="str">
        <x:v>Use module-qualified capabilities and named/queue assignment; no generic role-name assignee; no admin operational shortcut.</x:v>
      </x:c>
      <x:c r="K7" s="81" t="str">
        <x:v>Authorization trace, delegation instrument, assignment history</x:v>
      </x:c>
      <x:c r="L7" s="81" t="str">
        <x:v>All modules</x:v>
      </x:c>
      <x:c r="M7" s="81" t="str">
        <x:v>ss. 44–48</x:v>
      </x:c>
      <x:c r="N7" s="81" t="str">
        <x:v>rr. 23, 28–35; Second Schedule</x:v>
      </x:c>
      <x:c r="O7" s="81" t="str">
        <x:v>Second Schedule segregation matrix</x:v>
      </x:c>
      <x:c r="P7" s="81" t="str">
        <x:v>Shared Authorization; My Work</x:v>
      </x:c>
      <x:c r="Q7" s="81" t="str">
        <x:v>Approved ledger; implementation not verified</x:v>
      </x:c>
      <x:c r="R7" s="81" t="str">
        <x:v>MVP-1 release gate</x:v>
      </x:c>
      <x:c r="S7" s="81" t="str">
        <x:v>SRC-002; SRC-003; SRC-007</x:v>
      </x:c>
      <x:c r="T7" s="81" t="str">
        <x:v>System administrators may receive audited neutral support projections but no procurement decisions.</x:v>
      </x:c>
    </x:row>
    <x:row r="8" ht="72" customHeight="1">
      <x:c r="A8" s="86" t="str">
        <x:v>CTL-004</x:v>
      </x:c>
      <x:c r="B8" s="81" t="str">
        <x:v>Governance</x:v>
      </x:c>
      <x:c r="C8" s="81" t="str">
        <x:v>Maintain segregation of duties throughout the cycle.</x:v>
      </x:c>
      <x:c r="D8" s="81" t="str">
        <x:v>A person is nominated, appointed, assigned or attempts a command.</x:v>
      </x:c>
      <x:c r="E8" s="81" t="str">
        <x:v>Accounting Officer</x:v>
      </x:c>
      <x:c r="F8" s="81" t="str">
        <x:v>Procurement Function; System Administrator</x:v>
      </x:c>
      <x:c r="G8" s="81" t="str">
        <x:v>Committee appointment, delegation and incompatibility policy</x:v>
      </x:c>
      <x:c r="H8" s="81" t="str">
        <x:v>Prevent incompatible participation or decisions in the same proceeding.</x:v>
      </x:c>
      <x:c r="I8" s="81" t="str">
        <x:v>Accepted appointment or controlled denial</x:v>
      </x:c>
      <x:c r="J8" s="81" t="str">
        <x:v>Evaluate person-level conflicts, not role labels alone; record recusals and replacements.</x:v>
      </x:c>
      <x:c r="K8" s="81" t="str">
        <x:v>Appointment letters, declarations, denial logs</x:v>
      </x:c>
      <x:c r="L8" s="81" t="str">
        <x:v>Tender preparation through contract acceptance</x:v>
      </x:c>
      <x:c r="M8" s="81" t="str">
        <x:v>ss. 45–48</x:v>
      </x:c>
      <x:c r="N8" s="81" t="str">
        <x:v>rr. 25–35; Second Schedule</x:v>
      </x:c>
      <x:c r="O8" s="81" t="str">
        <x:v>Second and Sixth Schedules</x:v>
      </x:c>
      <x:c r="P8" s="81" t="str">
        <x:v>Shared Authorization; Tender Management</x:v>
      </x:c>
      <x:c r="Q8" s="81" t="str">
        <x:v>Partially documented</x:v>
      </x:c>
      <x:c r="R8" s="81" t="str">
        <x:v>MVP-1 release gate</x:v>
      </x:c>
      <x:c r="S8" s="81" t="str">
        <x:v>SRC-002; SRC-003; SRC-007</x:v>
      </x:c>
      <x:c r="T8" s="81" t="str">
        <x:v>Combined Budget Officer/Authority accounts need record-level separation.</x:v>
      </x:c>
    </x:row>
    <x:row r="9" ht="72" customHeight="1">
      <x:c r="A9" s="86" t="str">
        <x:v>CTL-005</x:v>
      </x:c>
      <x:c r="B9" s="81" t="str">
        <x:v>Governance</x:v>
      </x:c>
      <x:c r="C9" s="81" t="str">
        <x:v>Keep procurement and asset-disposal records for the statutory period and make them retrievable.</x:v>
      </x:c>
      <x:c r="D9" s="81" t="str">
        <x:v>A proceeding, decision, communication or contract event occurs.</x:v>
      </x:c>
      <x:c r="E9" s="81" t="str">
        <x:v>Accounting Officer</x:v>
      </x:c>
      <x:c r="F9" s="81" t="str">
        <x:v>Head of Procurement Function; User Department</x:v>
      </x:c>
      <x:c r="G9" s="81" t="str">
        <x:v>All proceeding records and prescribed summaries</x:v>
      </x:c>
      <x:c r="H9" s="81" t="str">
        <x:v>Capture, index, protect and retain complete records.</x:v>
      </x:c>
      <x:c r="I9" s="81" t="str">
        <x:v>Complete procurement file</x:v>
      </x:c>
      <x:c r="J9" s="81" t="str">
        <x:v>Prevent deletion/overwrite of sealed records; support lawful access, export and audit.</x:v>
      </x:c>
      <x:c r="K9" s="81" t="str">
        <x:v>Record index, retention status, access log</x:v>
      </x:c>
      <x:c r="L9" s="81" t="str">
        <x:v>Audit; review; reporting</x:v>
      </x:c>
      <x:c r="M9" s="81" t="str">
        <x:v>s. 68</x:v>
      </x:c>
      <x:c r="N9" s="81" t="str">
        <x:v>rr. 65–66</x:v>
      </x:c>
      <x:c r="O9" s="81" t="str">
        <x:v>Sixth and Seventh Schedules</x:v>
      </x:c>
      <x:c r="P9" s="81" t="str">
        <x:v>Records; all modules</x:v>
      </x:c>
      <x:c r="Q9" s="81" t="str">
        <x:v>Underdeveloped</x:v>
      </x:c>
      <x:c r="R9" s="81" t="str">
        <x:v>MVP-1 release gate</x:v>
      </x:c>
      <x:c r="S9" s="81" t="str">
        <x:v>SRC-002; SRC-003</x:v>
      </x:c>
      <x:c r="T9" s="81" t="str">
        <x:v>Retention period and records classes must be confirmed in the implementation ledger.</x:v>
      </x:c>
    </x:row>
    <x:row r="10" ht="72" customHeight="1">
      <x:c r="A10" s="86" t="str">
        <x:v>CTL-006</x:v>
      </x:c>
      <x:c r="B10" s="81" t="str">
        <x:v>Governance</x:v>
      </x:c>
      <x:c r="C10" s="81" t="str">
        <x:v>Use electronic procurement interfaces required for planning, requisition, notices, submission, opening, evaluation, award, contracts, invoices and orders.</x:v>
      </x:c>
      <x:c r="D10" s="81" t="str">
        <x:v>PE uses an e-procurement system.</x:v>
      </x:c>
      <x:c r="E10" s="81" t="str">
        <x:v>National Treasury / Accounting Officer</x:v>
      </x:c>
      <x:c r="F10" s="81" t="str">
        <x:v>PPRA; Procurement Function; ICT/System Administration</x:v>
      </x:c>
      <x:c r="G10" s="81" t="str">
        <x:v>Authorized system integration and State Portal interface</x:v>
      </x:c>
      <x:c r="H10" s="81" t="str">
        <x:v>Exchange required records securely and preserve the authoritative status of each transmission.</x:v>
      </x:c>
      <x:c r="I10" s="81" t="str">
        <x:v>Transmission receipt and synchronized state</x:v>
      </x:c>
      <x:c r="J10" s="81" t="str">
        <x:v>Outbox/idempotency, retry without duplicate business effects, signed receipts and reconciliation dashboard.</x:v>
      </x:c>
      <x:c r="K10" s="81" t="str">
        <x:v>Payload version, checksum, timestamp, external receipt</x:v>
      </x:c>
      <x:c r="L10" s="81" t="str">
        <x:v>State Portal; supplier portal; finance systems</x:v>
      </x:c>
      <x:c r="M10" s="81" t="str">
        <x:v>s. 64</x:v>
      </x:c>
      <x:c r="N10" s="81" t="str">
        <x:v>rr. 49–64</x:v>
      </x:c>
      <x:c r="O10" s="81" t="str">
        <x:v>State Portal integration</x:v>
      </x:c>
      <x:c r="P10" s="81" t="str">
        <x:v>Integrations; all modules</x:v>
      </x:c>
      <x:c r="Q10" s="81" t="str">
        <x:v>Not assessed</x:v>
      </x:c>
      <x:c r="R10" s="81" t="str">
        <x:v>Close before affected interface release</x:v>
      </x:c>
      <x:c r="S10" s="81" t="str">
        <x:v>SRC-002; SRC-003</x:v>
      </x:c>
      <x:c r="T10" s="81" t="str">
        <x:v>Do not treat local status as successful publication without external receipt.</x:v>
      </x:c>
    </x:row>
    <x:row r="11" ht="72" customHeight="1">
      <x:c r="A11" s="86" t="str">
        <x:v>CTL-010</x:v>
      </x:c>
      <x:c r="B11" s="81" t="str">
        <x:v>Departmental Planning</x:v>
      </x:c>
      <x:c r="C11" s="81" t="str">
        <x:v>Prepare a departmental annual procurement plan before the financial year.</x:v>
      </x:c>
      <x:c r="D11" s="81" t="str">
        <x:v>Annual budget preparation cycle begins.</x:v>
      </x:c>
      <x:c r="E11" s="81" t="str">
        <x:v>Head of User Department</x:v>
      </x:c>
      <x:c r="F11" s="81" t="str">
        <x:v>User Department staff; Procurement Function</x:v>
      </x:c>
      <x:c r="G11" s="81" t="str">
        <x:v>Departmental needs, delivery dates, quantities and estimates</x:v>
      </x:c>
      <x:c r="H11" s="81" t="str">
        <x:v>Consolidate departmental requirements and submit the departmental plan.</x:v>
      </x:c>
      <x:c r="I11" s="81" t="str">
        <x:v>Submitted departmental procurement plan</x:v>
      </x:c>
      <x:c r="J11" s="81" t="str">
        <x:v>Provide simple internal need capture for ordinary staff, then require HoUD-controlled formalization before submission.</x:v>
      </x:c>
      <x:c r="K11" s="81" t="str">
        <x:v>Submission version, HoUD identity, date, included need lineage</x:v>
      </x:c>
      <x:c r="L11" s="81" t="str">
        <x:v>Consolidated annual plan</x:v>
      </x:c>
      <x:c r="M11" s="81" t="str">
        <x:v>s. 53</x:v>
      </x:c>
      <x:c r="N11" s="81" t="str">
        <x:v>r. 40(1)–(3)</x:v>
      </x:c>
      <x:c r="O11" s="81" t="str">
        <x:v>Third Schedule alignment</x:v>
      </x:c>
      <x:c r="P11" s="81" t="str">
        <x:v>Departmental Needs; Procurement Planning</x:v>
      </x:c>
      <x:c r="Q11" s="81" t="str">
        <x:v>Conflicting legacy design</x:v>
      </x:c>
      <x:c r="R11" s="81" t="str">
        <x:v>Departmental Needs redesign; MVP-1 release gate</x:v>
      </x:c>
      <x:c r="S11" s="81" t="str">
        <x:v>SRC-002; SRC-003; SRC-008</x:v>
      </x:c>
      <x:c r="T11" s="81" t="str">
        <x:v>A lightweight Departmental Need feeds departmental and annual planning; it is not a Procurement Requisition. A formal Requisition may be initiated only from an eligible Approved Plan Item.</x:v>
      </x:c>
    </x:row>
    <x:row r="12" ht="72" customHeight="1">
      <x:c r="A12" s="86" t="str">
        <x:v>CTL-011</x:v>
      </x:c>
      <x:c r="B12" s="81" t="str">
        <x:v>Annual Planning</x:v>
      </x:c>
      <x:c r="C12" s="81" t="str">
        <x:v>Prepare one realistic annual procurement plan integrated with the approved/indicative budget.</x:v>
      </x:c>
      <x:c r="D12" s="81" t="str">
        <x:v>Budget preparation and approved funding context.</x:v>
      </x:c>
      <x:c r="E12" s="81" t="str">
        <x:v>Accounting Officer</x:v>
      </x:c>
      <x:c r="F12" s="81" t="str">
        <x:v>Head of Procurement Function; Heads of User Departments; Finance Function</x:v>
      </x:c>
      <x:c r="G12" s="81" t="str">
        <x:v>Departmental plans, budget, market information</x:v>
      </x:c>
      <x:c r="H12" s="81" t="str">
        <x:v>Consolidate requirements into the annual plan.</x:v>
      </x:c>
      <x:c r="I12" s="81" t="str">
        <x:v>Consolidated annual procurement plan</x:v>
      </x:c>
      <x:c r="J12" s="81" t="str">
        <x:v>Enforce PE/FY uniqueness, versioning, budget linkage and complete Third Schedule projection.</x:v>
      </x:c>
      <x:c r="K12" s="81" t="str">
        <x:v>Plan version, source-line lineage, totals, validation evidence</x:v>
      </x:c>
      <x:c r="L12" s="81" t="str">
        <x:v>Plan approval and publication</x:v>
      </x:c>
      <x:c r="M12" s="81" t="str">
        <x:v>s. 53(2),(5)</x:v>
      </x:c>
      <x:c r="N12" s="81" t="str">
        <x:v>rr. 40–43</x:v>
      </x:c>
      <x:c r="O12" s="81" t="str">
        <x:v>Third Schedule</x:v>
      </x:c>
      <x:c r="P12" s="81" t="str">
        <x:v>Procurement Planning; Budget</x:v>
      </x:c>
      <x:c r="Q12" s="81" t="str">
        <x:v>Approved product ledger; statutory reconciliation incomplete</x:v>
      </x:c>
      <x:c r="R12" s="81" t="str">
        <x:v>MVP-1 release gate</x:v>
      </x:c>
      <x:c r="S12" s="81" t="str">
        <x:v>SRC-002; SRC-003; SRC-009</x:v>
      </x:c>
      <x:c r="T12" s="81" t="str">
        <x:v>Current Plan Item fields must be checked against every Third Schedule column.</x:v>
      </x:c>
    </x:row>
    <x:row r="13" ht="72" customHeight="1">
      <x:c r="A13" s="86" t="str">
        <x:v>CTL-012</x:v>
      </x:c>
      <x:c r="B13" s="81" t="str">
        <x:v>Annual Planning</x:v>
      </x:c>
      <x:c r="C13" s="81" t="str">
        <x:v>Capture detailed contents required in the consolidated plan.</x:v>
      </x:c>
      <x:c r="D13" s="81" t="str">
        <x:v>A requirement is admitted to the plan.</x:v>
      </x:c>
      <x:c r="E13" s="81" t="str">
        <x:v>Accounting Officer</x:v>
      </x:c>
      <x:c r="F13" s="81" t="str">
        <x:v>Head of Procurement Function; Procurement Planner</x:v>
      </x:c>
      <x:c r="G13" s="81" t="str">
        <x:v>Goods/works/services breakdown; dates; single/multi-year basis; aggregation; lots; estimate; budget/source; method; incidental costs</x:v>
      </x:c>
      <x:c r="H13" s="81" t="str">
        <x:v>Validate and record the statutory planning attributes.</x:v>
      </x:c>
      <x:c r="I13" s="81" t="str">
        <x:v>Complete plan item</x:v>
      </x:c>
      <x:c r="J13" s="81" t="str">
        <x:v>Make required attributes dynamic by requirement type and block approval when missing.</x:v>
      </x:c>
      <x:c r="K13" s="81" t="str">
        <x:v>Validation results and source snapshots</x:v>
      </x:c>
      <x:c r="L13" s="81" t="str">
        <x:v>Tender initiation and reporting</x:v>
      </x:c>
      <x:c r="M13" s="81" t="str">
        <x:v>s. 53</x:v>
      </x:c>
      <x:c r="N13" s="81" t="str">
        <x:v>r. 41</x:v>
      </x:c>
      <x:c r="O13" s="81" t="str">
        <x:v>Third Schedule</x:v>
      </x:c>
      <x:c r="P13" s="81" t="str">
        <x:v>Procurement Planning</x:v>
      </x:c>
      <x:c r="Q13" s="81" t="str">
        <x:v>Partially documented</x:v>
      </x:c>
      <x:c r="R13" s="81" t="str">
        <x:v>MVP-1 release gate</x:v>
      </x:c>
      <x:c r="S13" s="81" t="str">
        <x:v>SRC-002; SRC-003; SRC-009</x:v>
      </x:c>
      <x:c r="T13" s="81" t="str">
        <x:v>Open-tender-only MVP may fail closed for other methods, but may not omit statutory plan data.</x:v>
      </x:c>
    </x:row>
    <x:row r="14" ht="72" customHeight="1">
      <x:c r="A14" s="86" t="str">
        <x:v>CTL-013</x:v>
      </x:c>
      <x:c r="B14" s="81" t="str">
        <x:v>Annual Planning</x:v>
      </x:c>
      <x:c r="C14" s="81" t="str">
        <x:v>Prevent contract splitting and support justified aggregation/unbundling.</x:v>
      </x:c>
      <x:c r="D14" s="81" t="str">
        <x:v>Plan package or estimated value is created or changed.</x:v>
      </x:c>
      <x:c r="E14" s="81" t="str">
        <x:v>Accounting Officer</x:v>
      </x:c>
      <x:c r="F14" s="81" t="str">
        <x:v>Head of Procurement Function; User Department</x:v>
      </x:c>
      <x:c r="G14" s="81" t="str">
        <x:v>Related requirements, value, market survey, preference/reservation basis</x:v>
      </x:c>
      <x:c r="H14" s="81" t="str">
        <x:v>Detect artificial splitting; document lawful packaging and permitted unbundling.</x:v>
      </x:c>
      <x:c r="I14" s="81" t="str">
        <x:v>Packaging decision and justification</x:v>
      </x:c>
      <x:c r="J14" s="81" t="str">
        <x:v>Cross-plan similarity check; threshold/method impact preview; mandatory reason for exceptions.</x:v>
      </x:c>
      <x:c r="K14" s="81" t="str">
        <x:v>Comparison set, decision actor and basis</x:v>
      </x:c>
      <x:c r="L14" s="81" t="str">
        <x:v>Method selection; tender lots</x:v>
      </x:c>
      <x:c r="M14" s="81" t="str">
        <x:v>s. 54</x:v>
      </x:c>
      <x:c r="N14" s="81" t="str">
        <x:v>r. 43</x:v>
      </x:c>
      <x:c r="O14" s="81" t="str">
        <x:v>Second Schedule; preference rules</x:v>
      </x:c>
      <x:c r="P14" s="81" t="str">
        <x:v>Procurement Planning</x:v>
      </x:c>
      <x:c r="Q14" s="81" t="str">
        <x:v>Aggregation exists; legal gate incomplete</x:v>
      </x:c>
      <x:c r="R14" s="81" t="str">
        <x:v>MVP-1 release gate</x:v>
      </x:c>
      <x:c r="S14" s="81" t="str">
        <x:v>SRC-002; SRC-003; SRC-009</x:v>
      </x:c>
      <x:c r="T14" s="81" t="str">
        <x:v>Combining compatible Departmental Needs into Plan Items is permissible only with preserved source lineage, quantity/value reconciliation and threshold-impact controls.</x:v>
      </x:c>
    </x:row>
    <x:row r="15" ht="72" customHeight="1">
      <x:c r="A15" s="86" t="str">
        <x:v>CTL-014</x:v>
      </x:c>
      <x:c r="B15" s="81" t="str">
        <x:v>Annual Planning</x:v>
      </x:c>
      <x:c r="C15" s="81" t="str">
        <x:v>Use current market information for estimates.</x:v>
      </x:c>
      <x:c r="D15" s="81" t="str">
        <x:v>Estimated cost is set or refreshed.</x:v>
      </x:c>
      <x:c r="E15" s="81" t="str">
        <x:v>Accounting Officer</x:v>
      </x:c>
      <x:c r="F15" s="81" t="str">
        <x:v>Procurement Function; User Department; Finance Function</x:v>
      </x:c>
      <x:c r="G15" s="81" t="str">
        <x:v>Market survey, PPRA price index and other current evidence</x:v>
      </x:c>
      <x:c r="H15" s="81" t="str">
        <x:v>Approve a realistic estimate and record date/source.</x:v>
      </x:c>
      <x:c r="I15" s="81" t="str">
        <x:v>Estimate evidence snapshot</x:v>
      </x:c>
      <x:c r="J15" s="81" t="str">
        <x:v>Require evidence age, source and currency; warn/block stale estimates according to governed policy.</x:v>
      </x:c>
      <x:c r="K15" s="81" t="str">
        <x:v>Market survey attachment, price-index reference, estimator, date</x:v>
      </x:c>
      <x:c r="L15" s="81" t="str">
        <x:v>Plan, requisition, method and professional opinion</x:v>
      </x:c>
      <x:c r="M15" s="81" t="str">
        <x:v>ss. 53–54</x:v>
      </x:c>
      <x:c r="N15" s="81" t="str">
        <x:v>rr. 41(f),(i), 43; 71(3)</x:v>
      </x:c>
      <x:c r="O15" s="81" t="str">
        <x:v>PPRA market price index</x:v>
      </x:c>
      <x:c r="P15" s="81" t="str">
        <x:v>Strategy; Budget; Departmental Needs; Procurement Planning; Procurement Requisitions</x:v>
      </x:c>
      <x:c r="Q15" s="81" t="str">
        <x:v>Underdeveloped</x:v>
      </x:c>
      <x:c r="R15" s="81" t="str">
        <x:v>MVP-1 release gate</x:v>
      </x:c>
      <x:c r="S15" s="81" t="str">
        <x:v>SRC-002; SRC-003</x:v>
      </x:c>
      <x:c r="T15" s="81" t="str">
        <x:v>Staleness thresholds are KenTender policy and must be explicit.</x:v>
      </x:c>
    </x:row>
    <x:row r="16" ht="72" customHeight="1">
      <x:c r="A16" s="86" t="str">
        <x:v>CTL-015</x:v>
      </x:c>
      <x:c r="B16" s="81" t="str">
        <x:v>Annual Planning</x:v>
      </x:c>
      <x:c r="C16" s="81" t="str">
        <x:v>Approve the consolidated plan using the authority applicable to the PE type.</x:v>
      </x:c>
      <x:c r="D16" s="81" t="str">
        <x:v>Plan is complete and validated.</x:v>
      </x:c>
      <x:c r="E16" s="81" t="str">
        <x:v>Cabinet Secretary / responsible CEC member / Board or similar governing body, as applicable</x:v>
      </x:c>
      <x:c r="F16" s="81" t="str">
        <x:v>Accounting Officer; Head of Procurement Function</x:v>
      </x:c>
      <x:c r="G16" s="81" t="str">
        <x:v>Validated consolidated plan and approval route configured for PE type</x:v>
      </x:c>
      <x:c r="H16" s="81" t="str">
        <x:v>Approve or return the plan.</x:v>
      </x:c>
      <x:c r="I16" s="81" t="str">
        <x:v>Approved plan version or return decision</x:v>
      </x:c>
      <x:c r="J16" s="81" t="str">
        <x:v>Resolve approval authority from PE legal type; never hardcode Head of Procurement as final plan approver.</x:v>
      </x:c>
      <x:c r="K16" s="81" t="str">
        <x:v>Approval instrument, decision, comments, version hash</x:v>
      </x:c>
      <x:c r="L16" s="81" t="str">
        <x:v>Plan publication; requisition eligibility</x:v>
      </x:c>
      <x:c r="M16" s="81" t="str">
        <x:v>s. 53(5)</x:v>
      </x:c>
      <x:c r="N16" s="81" t="str">
        <x:v>r. 40(4)</x:v>
      </x:c>
      <x:c r="O16" s="81" t="str">
        <x:v>Third Schedule</x:v>
      </x:c>
      <x:c r="P16" s="81" t="str">
        <x:v>Procurement Planning; Shared Authorization</x:v>
      </x:c>
      <x:c r="Q16" s="81" t="str">
        <x:v>Requires correction</x:v>
      </x:c>
      <x:c r="R16" s="81" t="str">
        <x:v>MVP-1 release gate</x:v>
      </x:c>
      <x:c r="S16" s="81" t="str">
        <x:v>SRC-002; SRC-003; SRC-007; SRC-009</x:v>
      </x:c>
      <x:c r="T16" s="81" t="str">
        <x:v>Accounting Officer prepares/consolidates; approval body varies by entity type.</x:v>
      </x:c>
    </x:row>
    <x:row r="17" ht="72" customHeight="1">
      <x:c r="A17" s="86" t="str">
        <x:v>CTL-016</x:v>
      </x:c>
      <x:c r="B17" s="81" t="str">
        <x:v>Annual Planning</x:v>
      </x:c>
      <x:c r="C17" s="81" t="str">
        <x:v>Publish/upload the approved annual procurement plan to the State Portal where e-procurement applies.</x:v>
      </x:c>
      <x:c r="D17" s="81" t="str">
        <x:v>Approved plan version exists.</x:v>
      </x:c>
      <x:c r="E17" s="81" t="str">
        <x:v>Accounting Officer</x:v>
      </x:c>
      <x:c r="F17" s="81" t="str">
        <x:v>Procurement Function; System integration</x:v>
      </x:c>
      <x:c r="G17" s="81" t="str">
        <x:v>Approved plan and State Portal payload</x:v>
      </x:c>
      <x:c r="H17" s="81" t="str">
        <x:v>Transmit the approved procurement plan; do not open tender submission.</x:v>
      </x:c>
      <x:c r="I17" s="81" t="str">
        <x:v>State Portal plan-publication receipt</x:v>
      </x:c>
      <x:c r="J17" s="81" t="str">
        <x:v>Use the label “Upload approved procurement plan” or “Publish procurement plan” with explanatory copy; distinguish from tender advertisement/publication.</x:v>
      </x:c>
      <x:c r="K17" s="81" t="str">
        <x:v>External receipt, payload checksum, published version</x:v>
      </x:c>
      <x:c r="L17" s="81" t="str">
        <x:v>State Portal; public planning transparency</x:v>
      </x:c>
      <x:c r="M17" s="81" t="str">
        <x:v>s. 53(7)</x:v>
      </x:c>
      <x:c r="N17" s="81" t="str">
        <x:v>r. 50</x:v>
      </x:c>
      <x:c r="O17" s="81" t="str">
        <x:v>Third Schedule</x:v>
      </x:c>
      <x:c r="P17" s="81" t="str">
        <x:v>Procurement Planning; Integrations</x:v>
      </x:c>
      <x:c r="Q17" s="81" t="str">
        <x:v>Terminology corrected in ledger; integration not verified</x:v>
      </x:c>
      <x:c r="R17" s="81" t="str">
        <x:v>Close before State Portal feature release</x:v>
      </x:c>
      <x:c r="S17" s="81" t="str">
        <x:v>SRC-002; SRC-003; SRC-009</x:v>
      </x:c>
      <x:c r="T17" s="81" t="str">
        <x:v>Plan publication does not create a tender or permit bids.</x:v>
      </x:c>
    </x:row>
    <x:row r="18" ht="72" customHeight="1">
      <x:c r="A18" s="86" t="str">
        <x:v>CTL-017</x:v>
      </x:c>
      <x:c r="B18" s="81" t="str">
        <x:v>Annual Planning</x:v>
      </x:c>
      <x:c r="C18" s="81" t="str">
        <x:v>Report quarterly on plan implementation.</x:v>
      </x:c>
      <x:c r="D18" s="81" t="str">
        <x:v>Quarter end.</x:v>
      </x:c>
      <x:c r="E18" s="81" t="str">
        <x:v>Accounting Officer</x:v>
      </x:c>
      <x:c r="F18" s="81" t="str">
        <x:v>Head of Procurement Function</x:v>
      </x:c>
      <x:c r="G18" s="81" t="str">
        <x:v>Approved plan, actual milestones, variances and procurement status</x:v>
      </x:c>
      <x:c r="H18" s="81" t="str">
        <x:v>Prepare and submit implementation report to the applicable oversight body.</x:v>
      </x:c>
      <x:c r="I18" s="81" t="str">
        <x:v>Quarterly plan implementation report</x:v>
      </x:c>
      <x:c r="J18" s="81" t="str">
        <x:v>Derive from live proceedings while preserving the approved plan baseline and variance reasons.</x:v>
      </x:c>
      <x:c r="K18" s="81" t="str">
        <x:v>Report version, submitter, recipient and receipt</x:v>
      </x:c>
      <x:c r="L18" s="81" t="str">
        <x:v>Oversight; planning improvement</x:v>
      </x:c>
      <x:c r="M18" s="81" t="str">
        <x:v>s. 44</x:v>
      </x:c>
      <x:c r="N18" s="81" t="str">
        <x:v>r. 40(6)</x:v>
      </x:c>
      <x:c r="O18" s="81" t="str">
        <x:v>Third Schedule status/actuals</x:v>
      </x:c>
      <x:c r="P18" s="81" t="str">
        <x:v>Reporting; Procurement Planning</x:v>
      </x:c>
      <x:c r="Q18" s="81" t="str">
        <x:v>Missing</x:v>
      </x:c>
      <x:c r="R18" s="81" t="str">
        <x:v>Close before reporting feature release</x:v>
      </x:c>
      <x:c r="S18" s="81" t="str">
        <x:v>SRC-002; SRC-003</x:v>
      </x:c>
      <x:c r="T18" s="81" t="str">
        <x:v>Not required to block core MVP if reporting is explicitly out of release scope.</x:v>
      </x:c>
    </x:row>
    <x:row r="19" ht="72" customHeight="1">
      <x:c r="A19" s="86" t="str">
        <x:v>CTL-020</x:v>
      </x:c>
      <x:c r="B19" s="81" t="str">
        <x:v>Need Intake</x:v>
      </x:c>
      <x:c r="C19" s="81" t="str">
        <x:v>Allow ordinary departmental users to submit a simple internal need without pretending it is a statutory requisition.</x:v>
      </x:c>
      <x:c r="D19" s="81" t="str">
        <x:v>Department identifies a need.</x:v>
      </x:c>
      <x:c r="E19" s="81" t="str">
        <x:v>Head of User Department</x:v>
      </x:c>
      <x:c r="F19" s="81" t="str">
        <x:v>Ordinary departmental user</x:v>
      </x:c>
      <x:c r="G19" s="81" t="str">
        <x:v>Narrative description, indicative quantity, required-by date and supporting material</x:v>
      </x:c>
      <x:c r="H19" s="81" t="str">
        <x:v>Review and either return, decline or admit the need to departmental procurement planning.</x:v>
      </x:c>
      <x:c r="I19" s="81" t="str">
        <x:v>Internal need submission with disposition</x:v>
      </x:c>
      <x:c r="J19" s="81" t="str">
        <x:v>Label as Departmental Need; keep a non-statutory lifecycle and preserve lineage into departmental planning, the consolidated annual plan and any resulting Approved Plan Item.</x:v>
      </x:c>
      <x:c r="K19" s="81" t="str">
        <x:v>Submitter, OU, timestamps, reviewer and transformation lineage</x:v>
      </x:c>
      <x:c r="L19" s="81" t="str">
        <x:v>Departmental procurement plan; consolidated annual procurement plan</x:v>
      </x:c>
      <x:c r="M19" s="81" t="str">
        <x:v>—</x:v>
      </x:c>
      <x:c r="N19" s="81" t="str">
        <x:v>—</x:v>
      </x:c>
      <x:c r="O19" s="81" t="str">
        <x:v>KenTender policy</x:v>
      </x:c>
      <x:c r="P19" s="81" t="str">
        <x:v>Departmental Needs; Procurement Planning</x:v>
      </x:c>
      <x:c r="Q19" s="81" t="str">
        <x:v>Existing narrative approach reusable</x:v>
      </x:c>
      <x:c r="R19" s="81" t="str">
        <x:v>Departmental Needs redesign</x:v>
      </x:c>
      <x:c r="S19" s="81" t="str">
        <x:v>SRC-008</x:v>
      </x:c>
      <x:c r="T19" s="81" t="str">
        <x:v>This non-statutory product control shields ordinary users from procurement complexity. It does not initiate procurement and cannot be converted directly into a formal Requisition before an eligible Approved Plan Item exists.</x:v>
      </x:c>
    </x:row>
    <x:row r="20" ht="72" customHeight="1">
      <x:c r="A20" s="86" t="str">
        <x:v>CTL-021</x:v>
      </x:c>
      <x:c r="B20" s="81" t="str">
        <x:v>Procurement Initiation</x:v>
      </x:c>
      <x:c r="C20" s="81" t="str">
        <x:v>Initiate procurement through a requisition in accordance with the approved procurement plan.</x:v>
      </x:c>
      <x:c r="D20" s="81" t="str">
        <x:v>A planned requirement is ready for procurement.</x:v>
      </x:c>
      <x:c r="E20" s="81" t="str">
        <x:v>Head of User Department</x:v>
      </x:c>
      <x:c r="F20" s="81" t="str">
        <x:v>User Department; Procurement Function</x:v>
      </x:c>
      <x:c r="G20" s="81" t="str">
        <x:v>Approved plan-item reference and Procurement Requisition Form</x:v>
      </x:c>
      <x:c r="H20" s="81" t="str">
        <x:v>Create/sign the formal requisition and submit it to the Head of Procurement Function.</x:v>
      </x:c>
      <x:c r="I20" s="81" t="str">
        <x:v>Governed procurement requisition</x:v>
      </x:c>
      <x:c r="J20" s="81" t="str">
        <x:v>The Procurement Requisition is the single governed statutory initiation record; create it only against an eligible Approved Plan Item and block any duplicate requisition in Tender Initiation.</x:v>
      </x:c>
      <x:c r="K20" s="81" t="str">
        <x:v>HoUD authority, plan version/item, requisition number, version hash</x:v>
      </x:c>
      <x:c r="L20" s="81" t="str">
        <x:v>Procurement Function review; tender preparation</x:v>
      </x:c>
      <x:c r="M20" s="81" t="str">
        <x:v>s. 73</x:v>
      </x:c>
      <x:c r="N20" s="81" t="str">
        <x:v>r. 71(1)–(2)</x:v>
      </x:c>
      <x:c r="O20" s="81" t="str">
        <x:v>Eighth Schedule item 24 — Procurement Requisition Form</x:v>
      </x:c>
      <x:c r="P20" s="81" t="str">
        <x:v>Procurement Requisitions; Procurement Planning; Tender Initiation</x:v>
      </x:c>
      <x:c r="Q20" s="81" t="str">
        <x:v>Formal Procurement Requisition capability missing/underdeveloped</x:v>
      </x:c>
      <x:c r="R20" s="81" t="str">
        <x:v>Procurement Requisitions module; MVP-1 release gate</x:v>
      </x:c>
      <x:c r="S20" s="81" t="str">
        <x:v>SRC-002; SRC-003; SRC-008</x:v>
      </x:c>
      <x:c r="T20" s="81" t="str">
        <x:v>This supersedes any model that treats a pre-planning Departmental Need as the statutory Requisition or creates a second Requisition in Tender Initiation.</x:v>
      </x:c>
    </x:row>
    <x:row r="21" ht="72" customHeight="1">
      <x:c r="A21" s="86" t="str">
        <x:v>CTL-022</x:v>
      </x:c>
      <x:c r="B21" s="81" t="str">
        <x:v>Procurement Initiation</x:v>
      </x:c>
      <x:c r="C21" s="81" t="str">
        <x:v>Attach the structured requirement evidence applicable to the procurement.</x:v>
      </x:c>
      <x:c r="D21" s="81" t="str">
        <x:v>Formal requisition is drafted or amended.</x:v>
      </x:c>
      <x:c r="E21" s="81" t="str">
        <x:v>Head of User Department</x:v>
      </x:c>
      <x:c r="F21" s="81" t="str">
        <x:v>Technical staff; Procurement Function</x:v>
      </x:c>
      <x:c r="G21" s="81" t="str">
        <x:v>Feasibility studies/surveys; specifications; BoQ; drawings; ToR; ESIA; delivery date; other necessary information</x:v>
      </x:c>
      <x:c r="H21" s="81" t="str">
        <x:v>Complete and certify the applicable requirement package.</x:v>
      </x:c>
      <x:c r="I21" s="81" t="str">
        <x:v>Structured, versioned requirement package</x:v>
      </x:c>
      <x:c r="J21" s="81" t="str">
        <x:v>Requirement type drives required sections and validations; no narrative-only formal requisition where structured evidence applies.</x:v>
      </x:c>
      <x:c r="K21" s="81" t="str">
        <x:v>Structured lines, documents, author/certifier, version and applicability decisions</x:v>
      </x:c>
      <x:c r="L21" s="81" t="str">
        <x:v>Tender document configuration; evaluation; contract</x:v>
      </x:c>
      <x:c r="M21" s="81" t="str">
        <x:v>s. 73</x:v>
      </x:c>
      <x:c r="N21" s="81" t="str">
        <x:v>r. 71(2)</x:v>
      </x:c>
      <x:c r="O21" s="81" t="str">
        <x:v>Procurement Requisition Form; applicable PPRA STD</x:v>
      </x:c>
      <x:c r="P21" s="81" t="str">
        <x:v>Procurement Requisitions; Tender Initiation; STD Engine</x:v>
      </x:c>
      <x:c r="Q21" s="81" t="str">
        <x:v>Missing/underdeveloped</x:v>
      </x:c>
      <x:c r="R21" s="81" t="str">
        <x:v>Procurement Requisitions module; MVP-1 release gate</x:v>
      </x:c>
      <x:c r="S21" s="81" t="str">
        <x:v>SRC-002; SRC-003; SRC-004; SRC-008</x:v>
      </x:c>
      <x:c r="T21" s="81" t="str">
        <x:v>Requirement types include goods, works, non-consulting services and consultancy, with specialized subtypes as configured.</x:v>
      </x:c>
    </x:row>
    <x:row r="22" ht="72" customHeight="1">
      <x:c r="A22" s="86" t="str">
        <x:v>CTL-023</x:v>
      </x:c>
      <x:c r="B22" s="81" t="str">
        <x:v>Procurement Initiation</x:v>
      </x:c>
      <x:c r="C22" s="81" t="str">
        <x:v>Preserve requirement lineage from Departmental Need through departmental and annual planning, Approved Plan Item, Procurement Requisition, tender, award and contract.</x:v>
      </x:c>
      <x:c r="D22" s="81" t="str">
        <x:v>A source record is transformed, combined, split or revised.</x:v>
      </x:c>
      <x:c r="E22" s="81" t="str">
        <x:v>Accounting Officer</x:v>
      </x:c>
      <x:c r="F22" s="81" t="str">
        <x:v>HoUD; Head of Procurement Function; Procurement Planner</x:v>
      </x:c>
      <x:c r="G22" s="81" t="str">
        <x:v>Source IDs, versions, quantities, values and transformation reason</x:v>
      </x:c>
      <x:c r="H22" s="81" t="str">
        <x:v>Create explicit allocation/mapping records without overwriting source history.</x:v>
      </x:c>
      <x:c r="I22" s="81" t="str">
        <x:v>End-to-end lineage graph</x:v>
      </x:c>
      <x:c r="J22" s="81" t="str">
        <x:v>Versioned mappings; totals and quantities reconcile; downstream snapshots identify exact upstream versions.</x:v>
      </x:c>
      <x:c r="K22" s="81" t="str">
        <x:v>Mapping records and reconciliation report</x:v>
      </x:c>
      <x:c r="L22" s="81" t="str">
        <x:v>Audit, evaluation, contract management</x:v>
      </x:c>
      <x:c r="M22" s="81" t="str">
        <x:v>ss. 44, 68, 73</x:v>
      </x:c>
      <x:c r="N22" s="81" t="str">
        <x:v>rr. 41, 66, 71</x:v>
      </x:c>
      <x:c r="O22" s="81" t="str">
        <x:v>Seventh Schedule requisition reference</x:v>
      </x:c>
      <x:c r="P22" s="81" t="str">
        <x:v>All lifecycle modules</x:v>
      </x:c>
      <x:c r="Q22" s="81" t="str">
        <x:v>Partial in Departmental Need-to-Plan lineage only</x:v>
      </x:c>
      <x:c r="R22" s="81" t="str">
        <x:v>MVP-1 release gate</x:v>
      </x:c>
      <x:c r="S22" s="81" t="str">
        <x:v>SRC-002; SRC-003; SRC-008; SRC-009</x:v>
      </x:c>
      <x:c r="T22" s="81" t="str">
        <x:v>Canonical order: Departmental Need → departmental plan → consolidated/approved annual Plan Item → Procurement Requisition → tender → award → contract. Transformations must never reorder or collapse these governed stages.</x:v>
      </x:c>
    </x:row>
    <x:row r="23" ht="72" customHeight="1">
      <x:c r="A23" s="86" t="str">
        <x:v>CTL-024</x:v>
      </x:c>
      <x:c r="B23" s="81" t="str">
        <x:v>Procurement Initiation</x:v>
      </x:c>
      <x:c r="C23" s="81" t="str">
        <x:v>Control amendments to an approved requirement.</x:v>
      </x:c>
      <x:c r="D23" s="81" t="str">
        <x:v>Requisition facts, scope, quantity, specification, value or timing change.</x:v>
      </x:c>
      <x:c r="E23" s="81" t="str">
        <x:v>Head of User Department</x:v>
      </x:c>
      <x:c r="F23" s="81" t="str">
        <x:v>Accounting Officer; Head of Procurement Function; Finance Function</x:v>
      </x:c>
      <x:c r="G23" s="81" t="str">
        <x:v>Current approved requisition, change reason, impact analysis</x:v>
      </x:c>
      <x:c r="H23" s="81" t="str">
        <x:v>Classify materiality and route material business-scope changes for reapproval; keep minor procurement refinements within authorized professional control.</x:v>
      </x:c>
      <x:c r="I23" s="81" t="str">
        <x:v>Approved amendment or returned requisition</x:v>
      </x:c>
      <x:c r="J23" s="81" t="str">
        <x:v>Never patch a deficient requisition inside Tender Initiation; send corrections to the governed requisition with versioned downstream invalidation.</x:v>
      </x:c>
      <x:c r="K23" s="81" t="str">
        <x:v>Before/after diff, classification, decisions and affected consumers</x:v>
      </x:c>
      <x:c r="L23" s="81" t="str">
        <x:v>Plan revision; funding; tender configuration</x:v>
      </x:c>
      <x:c r="M23" s="81" t="str">
        <x:v>ss. 44, 53, 73</x:v>
      </x:c>
      <x:c r="N23" s="81" t="str">
        <x:v>rr. 41, 71</x:v>
      </x:c>
      <x:c r="O23" s="81" t="str">
        <x:v>Procurement Requisition Form</x:v>
      </x:c>
      <x:c r="P23" s="81" t="str">
        <x:v>Procurement Requisitions; Procurement Planning; Tender Initiation</x:v>
      </x:c>
      <x:c r="Q23" s="81" t="str">
        <x:v>Material-change concepts partial</x:v>
      </x:c>
      <x:c r="R23" s="81" t="str">
        <x:v>Procurement Requisitions module; MVP-1 release gate</x:v>
      </x:c>
      <x:c r="S23" s="81" t="str">
        <x:v>SRC-002; SRC-003; SRC-008</x:v>
      </x:c>
      <x:c r="T23" s="81" t="str">
        <x:v>Materiality policy must be explicit and legally reviewed.</x:v>
      </x:c>
    </x:row>
    <x:row r="24" ht="72" customHeight="1">
      <x:c r="A24" s="86" t="str">
        <x:v>CTL-025</x:v>
      </x:c>
      <x:c r="B24" s="81" t="str">
        <x:v>Funding Control</x:v>
      </x:c>
      <x:c r="C24" s="81" t="str">
        <x:v>Confirm availability of funds before procurement proceeds and prevent commitment beyond authorized budget.</x:v>
      </x:c>
      <x:c r="D24" s="81" t="str">
        <x:v>Requisition/plan item enters Finance control or value changes.</x:v>
      </x:c>
      <x:c r="E24" s="81" t="str">
        <x:v>Accounting Officer</x:v>
      </x:c>
      <x:c r="F24" s="81" t="str">
        <x:v>Finance/Budget Officer; Head of Procurement Function</x:v>
      </x:c>
      <x:c r="G24" s="81" t="str">
        <x:v>Approved budget line, requisition estimate, existing reservations/commitments</x:v>
      </x:c>
      <x:c r="H24" s="81" t="str">
        <x:v>Confirm, return or reject the funding request within delegated operational authority.</x:v>
      </x:c>
      <x:c r="I24" s="81" t="str">
        <x:v>Funding-control decision and reservation/availability evidence</x:v>
      </x:c>
      <x:c r="J24" s="81" t="str">
        <x:v>Named task assignment; atomic check-and-reserve; fail on insufficient funds or routing failure; AO remains accountable.</x:v>
      </x:c>
      <x:c r="K24" s="81" t="str">
        <x:v>Budget snapshot, officer/delegation, decision, reason and ledger entry</x:v>
      </x:c>
      <x:c r="L24" s="81" t="str">
        <x:v>Tender preparation; award; contract</x:v>
      </x:c>
      <x:c r="M24" s="81" t="str">
        <x:v>ss. 44, 53</x:v>
      </x:c>
      <x:c r="N24" s="81" t="str">
        <x:v>rr. 23, 71; Second Schedule</x:v>
      </x:c>
      <x:c r="O24" s="81" t="str">
        <x:v>Applicable PFM controls</x:v>
      </x:c>
      <x:c r="P24" s="81" t="str">
        <x:v>Budget &amp; Funding; Procurement Requisitions; Procurement Planning</x:v>
      </x:c>
      <x:c r="Q24" s="81" t="str">
        <x:v>Core exists; assignment defects documented</x:v>
      </x:c>
      <x:c r="R24" s="81" t="str">
        <x:v>MVP-1 release gate</x:v>
      </x:c>
      <x:c r="S24" s="81" t="str">
        <x:v>SRC-002; SRC-003; SRC-006; SRC-007</x:v>
      </x:c>
      <x:c r="T24" s="81" t="str">
        <x:v>The PPADA does not create a generic final “Budget Officer approval” authority; configuration must reflect lawful delegation and PFM controls.</x:v>
      </x:c>
    </x:row>
    <x:row r="25" ht="72" customHeight="1">
      <x:c r="A25" s="86" t="str">
        <x:v>CTL-026</x:v>
      </x:c>
      <x:c r="B25" s="81" t="str">
        <x:v>Funding Control</x:v>
      </x:c>
      <x:c r="C25" s="81" t="str">
        <x:v>Revalidate funding at material lifecycle events.</x:v>
      </x:c>
      <x:c r="D25" s="81" t="str">
        <x:v>Estimate changes, award recommendation, contract variation, cancellation or contract creation.</x:v>
      </x:c>
      <x:c r="E25" s="81" t="str">
        <x:v>Accounting Officer</x:v>
      </x:c>
      <x:c r="F25" s="81" t="str">
        <x:v>Finance Function; Procurement Function</x:v>
      </x:c>
      <x:c r="G25" s="81" t="str">
        <x:v>Current budget/reservation/commitment state and event amount</x:v>
      </x:c>
      <x:c r="H25" s="81" t="str">
        <x:v>Confirm availability, convert reservation to commitment, adjust or release as applicable.</x:v>
      </x:c>
      <x:c r="I25" s="81" t="str">
        <x:v>Financial control ledger entry</x:v>
      </x:c>
      <x:c r="J25" s="81" t="str">
        <x:v>Use idempotent transitions: reserve at governed pre-tender point, commit at award/contract as configured, release on cancellation; never double count.</x:v>
      </x:c>
      <x:c r="K25" s="81" t="str">
        <x:v>Before/after balances, event link and transaction ID</x:v>
      </x:c>
      <x:c r="L25" s="81" t="str">
        <x:v>Award; contract management; reporting</x:v>
      </x:c>
      <x:c r="M25" s="81" t="str">
        <x:v>ss. 44, 53, 139</x:v>
      </x:c>
      <x:c r="N25" s="81" t="str">
        <x:v>rr. 71, 132–133</x:v>
      </x:c>
      <x:c r="O25" s="81" t="str">
        <x:v>PFM controls</x:v>
      </x:c>
      <x:c r="P25" s="81" t="str">
        <x:v>Budget &amp; Funding; Planning; Awards; Contract Management</x:v>
      </x:c>
      <x:c r="Q25" s="81" t="str">
        <x:v>Reservation exists; commitment conversion incomplete</x:v>
      </x:c>
      <x:c r="R25" s="81" t="str">
        <x:v>MVP-1 release gate for shipped transitions</x:v>
      </x:c>
      <x:c r="S25" s="81" t="str">
        <x:v>SRC-002; SRC-003; SRC-006; SRC-010</x:v>
      </x:c>
      <x:c r="T25" s="81" t="str">
        <x:v>Exact timing is product/PFM policy and must be approved; the no-overcommit outcome is mandatory.</x:v>
      </x:c>
    </x:row>
    <x:row r="26" ht="72" customHeight="1">
      <x:c r="A26" s="86" t="str">
        <x:v>CTL-030</x:v>
      </x:c>
      <x:c r="B26" s="81" t="str">
        <x:v>Tender Preparation</x:v>
      </x:c>
      <x:c r="C26" s="81" t="str">
        <x:v>Procurement Function reviews the requisition and verifies it is complete, planned and processable.</x:v>
      </x:c>
      <x:c r="D26" s="81" t="str">
        <x:v>Formal requisition received.</x:v>
      </x:c>
      <x:c r="E26" s="81" t="str">
        <x:v>Head of Procurement Function</x:v>
      </x:c>
      <x:c r="F26" s="81" t="str">
        <x:v>Procurement professional; User Department</x:v>
      </x:c>
      <x:c r="G26" s="81" t="str">
        <x:v>Formal requisition, approved plan, funding evidence and requirement package</x:v>
      </x:c>
      <x:c r="H26" s="81" t="str">
        <x:v>Accept for processing or return to User Department with precise deficiencies.</x:v>
      </x:c>
      <x:c r="I26" s="81" t="str">
        <x:v>Accepted requisition / controlled return</x:v>
      </x:c>
      <x:c r="J26" s="81" t="str">
        <x:v>No procurement-owned duplicate requisition; return to source record for correction; retain review history.</x:v>
      </x:c>
      <x:c r="K26" s="81" t="str">
        <x:v>Review checklist, reviewer, decision and reasons</x:v>
      </x:c>
      <x:c r="L26" s="81" t="str">
        <x:v>Method selection; tender configuration</x:v>
      </x:c>
      <x:c r="M26" s="81" t="str">
        <x:v>ss. 47, 73</x:v>
      </x:c>
      <x:c r="N26" s="81" t="str">
        <x:v>rr. 33, 71</x:v>
      </x:c>
      <x:c r="O26" s="81" t="str">
        <x:v>Procurement Requisition Form</x:v>
      </x:c>
      <x:c r="P26" s="81" t="str">
        <x:v>Tender Initiation; Procurement Requisitions</x:v>
      </x:c>
      <x:c r="Q26" s="81" t="str">
        <x:v>Not yet governed as one boundary</x:v>
      </x:c>
      <x:c r="R26" s="81" t="str">
        <x:v>MVP-1 release gate</x:v>
      </x:c>
      <x:c r="S26" s="81" t="str">
        <x:v>SRC-002; SRC-003; SRC-008</x:v>
      </x:c>
      <x:c r="T26" s="81" t="str">
        <x:v>Procurement provides professional review; it does not silently rewrite user-owned requirements.</x:v>
      </x:c>
    </x:row>
    <x:row r="27" ht="72" customHeight="1">
      <x:c r="A27" s="86" t="str">
        <x:v>CTL-031</x:v>
      </x:c>
      <x:c r="B27" s="81" t="str">
        <x:v>Tender Preparation</x:v>
      </x:c>
      <x:c r="C27" s="81" t="str">
        <x:v>Select the lawful procurement method and record its basis.</x:v>
      </x:c>
      <x:c r="D27" s="81" t="str">
        <x:v>Requisition accepted and estimate/classification known.</x:v>
      </x:c>
      <x:c r="E27" s="81" t="str">
        <x:v>Accounting Officer</x:v>
      </x:c>
      <x:c r="F27" s="81" t="str">
        <x:v>Head of Procurement Function; Head of User Department</x:v>
      </x:c>
      <x:c r="G27" s="81" t="str">
        <x:v>Requirement type, estimate, market, conditions and current threshold catalogue</x:v>
      </x:c>
      <x:c r="H27" s="81" t="str">
        <x:v>Approve/admit the applicable method and grounds; default to open tender where no lawful exception is proven.</x:v>
      </x:c>
      <x:c r="I27" s="81" t="str">
        <x:v>Method decision with legal grounds</x:v>
      </x:c>
      <x:c r="J27" s="81" t="str">
        <x:v>Method catalogue is centrally governed and effective-dated; unsupported alternatives fail closed.</x:v>
      </x:c>
      <x:c r="K27" s="81" t="str">
        <x:v>Method, statutory grounds, threshold class, evidence and approver</x:v>
      </x:c>
      <x:c r="L27" s="81" t="str">
        <x:v>Tender document type and invitation</x:v>
      </x:c>
      <x:c r="M27" s="81" t="str">
        <x:v>ss. 91–114A</x:v>
      </x:c>
      <x:c r="N27" s="81" t="str">
        <x:v>rr. 85–108; Second Schedule</x:v>
      </x:c>
      <x:c r="O27" s="81" t="str">
        <x:v>Second Schedule; PPRA method-specific STD</x:v>
      </x:c>
      <x:c r="P27" s="81" t="str">
        <x:v>Tender Initiation; STD Administration</x:v>
      </x:c>
      <x:c r="Q27" s="81" t="str">
        <x:v>MVP currently Open tender only</x:v>
      </x:c>
      <x:c r="R27" s="81" t="str">
        <x:v>MVP-1 fail-closed; other methods MVP-2</x:v>
      </x:c>
      <x:c r="S27" s="81" t="str">
        <x:v>SRC-002; SRC-003; SRC-004; SRC-009</x:v>
      </x:c>
      <x:c r="T27" s="81" t="str">
        <x:v>Open-tender-only release is acceptable if every other method is unavailable and rejected deterministically.</x:v>
      </x:c>
    </x:row>
    <x:row r="28" ht="72" customHeight="1">
      <x:c r="A28" s="86" t="str">
        <x:v>CTL-032</x:v>
      </x:c>
      <x:c r="B28" s="81" t="str">
        <x:v>Tender Preparation</x:v>
      </x:c>
      <x:c r="C28" s="81" t="str">
        <x:v>Use technical specifications that are neutral, functional and fit for purpose.</x:v>
      </x:c>
      <x:c r="D28" s="81" t="str">
        <x:v>Tender document is prepared.</x:v>
      </x:c>
      <x:c r="E28" s="81" t="str">
        <x:v>Accounting Officer</x:v>
      </x:c>
      <x:c r="F28" s="81" t="str">
        <x:v>User Department; Procurement Function; technical experts</x:v>
      </x:c>
      <x:c r="G28" s="81" t="str">
        <x:v>Approved structured requirements and applicable standards</x:v>
      </x:c>
      <x:c r="H28" s="81" t="str">
        <x:v>Prepare specifications without unjustified brand/restrictive references and obtain required approvals.</x:v>
      </x:c>
      <x:c r="I28" s="81" t="str">
        <x:v>Approved specification package</x:v>
      </x:c>
      <x:c r="J28" s="81" t="str">
        <x:v>Generate from governed requisition data; track deviations and approvals; lock evaluation criteria to published tender.</x:v>
      </x:c>
      <x:c r="K28" s="81" t="str">
        <x:v>Specification version, authors, approvals and deviation reasons</x:v>
      </x:c>
      <x:c r="L28" s="81" t="str">
        <x:v>Tender document; evaluation; inspection</x:v>
      </x:c>
      <x:c r="M28" s="81" t="str">
        <x:v>ss. 60, 70</x:v>
      </x:c>
      <x:c r="N28" s="81" t="str">
        <x:v>r. 68(4)</x:v>
      </x:c>
      <x:c r="O28" s="81" t="str">
        <x:v>Applicable PPRA STD</x:v>
      </x:c>
      <x:c r="P28" s="81" t="str">
        <x:v>Procurement Requisitions; Tender Configuration; STD Engine</x:v>
      </x:c>
      <x:c r="Q28" s="81" t="str">
        <x:v>Tender tooling exists; upstream lineage incomplete</x:v>
      </x:c>
      <x:c r="R28" s="81" t="str">
        <x:v>Close before tender release</x:v>
      </x:c>
      <x:c r="S28" s="81" t="str">
        <x:v>SRC-002; SRC-003; SRC-004</x:v>
      </x:c>
      <x:c r="T28" s="81" t="str">
        <x:v>Requirements must propagate rather than be retyped.</x:v>
      </x:c>
    </x:row>
    <x:row r="29" ht="72" customHeight="1">
      <x:c r="A29" s="86" t="str">
        <x:v>CTL-033</x:v>
      </x:c>
      <x:c r="B29" s="81" t="str">
        <x:v>Tender Preparation</x:v>
      </x:c>
      <x:c r="C29" s="81" t="str">
        <x:v>Select and version the correct PPRA standard tender document/format.</x:v>
      </x:c>
      <x:c r="D29" s="81" t="str">
        <x:v>Requirement type and method are approved.</x:v>
      </x:c>
      <x:c r="E29" s="81" t="str">
        <x:v>Head of Procurement Function</x:v>
      </x:c>
      <x:c r="F29" s="81" t="str">
        <x:v>Procurement professional; User Department</x:v>
      </x:c>
      <x:c r="G29" s="81" t="str">
        <x:v>Current PPRA catalogue, method and requirement classification</x:v>
      </x:c>
      <x:c r="H29" s="81" t="str">
        <x:v>Bind the proceeding to the applicable current STD and permitted entity-specific data.</x:v>
      </x:c>
      <x:c r="I29" s="81" t="str">
        <x:v>Tender document package with source version</x:v>
      </x:c>
      <x:c r="J29" s="81" t="str">
        <x:v>No free-form substitution; catalogue item, effective date and approved deviations are explicit.</x:v>
      </x:c>
      <x:c r="K29" s="81" t="str">
        <x:v>Template ID/version/checksum and completed data fields</x:v>
      </x:c>
      <x:c r="L29" s="81" t="str">
        <x:v>Advertisement; bidder submission; evaluation</x:v>
      </x:c>
      <x:c r="M29" s="81" t="str">
        <x:v>ss. 9, 58, 70</x:v>
      </x:c>
      <x:c r="N29" s="81" t="str">
        <x:v>r. 68</x:v>
      </x:c>
      <x:c r="O29" s="81" t="str">
        <x:v>Eighth Schedule; PPRA Circular 2/2021; current PPRA STDs</x:v>
      </x:c>
      <x:c r="P29" s="81" t="str">
        <x:v>STD Administration; Tender Configuration</x:v>
      </x:c>
      <x:c r="Q29" s="81" t="str">
        <x:v>Substantial IT STD work; general catalogue incomplete</x:v>
      </x:c>
      <x:c r="R29" s="81" t="str">
        <x:v>Close before tender release</x:v>
      </x:c>
      <x:c r="S29" s="81" t="str">
        <x:v>SRC-002; SRC-003; SRC-004; SRC-005</x:v>
      </x:c>
      <x:c r="T29" s="81" t="str">
        <x:v>Eighth Schedule list and current PPRA page require controlled reconciliation.</x:v>
      </x:c>
    </x:row>
    <x:row r="30" ht="72" customHeight="1">
      <x:c r="A30" s="86" t="str">
        <x:v>CTL-034</x:v>
      </x:c>
      <x:c r="B30" s="81" t="str">
        <x:v>Tender Preparation</x:v>
      </x:c>
      <x:c r="C30" s="81" t="str">
        <x:v>Define quantifiable, measurable and objective evaluation criteria before invitation.</x:v>
      </x:c>
      <x:c r="D30" s="81" t="str">
        <x:v>Tender document is prepared.</x:v>
      </x:c>
      <x:c r="E30" s="81" t="str">
        <x:v>Accounting Officer</x:v>
      </x:c>
      <x:c r="F30" s="81" t="str">
        <x:v>Head of Procurement Function; User Department; evaluation subject-matter experts</x:v>
      </x:c>
      <x:c r="G30" s="81" t="str">
        <x:v>Requirement package, method and applicable STD</x:v>
      </x:c>
      <x:c r="H30" s="81" t="str">
        <x:v>Approve technical and financial evaluation criteria in the tender document.</x:v>
      </x:c>
      <x:c r="I30" s="81" t="str">
        <x:v>Locked evaluation model</x:v>
      </x:c>
      <x:c r="J30" s="81" t="str">
        <x:v>Criteria are versioned and sealed with the published tender; evaluation cannot add or alter them.</x:v>
      </x:c>
      <x:c r="K30" s="81" t="str">
        <x:v>Criteria version, approval, publication hash</x:v>
      </x:c>
      <x:c r="L30" s="81" t="str">
        <x:v>Bidder workspace; evaluation</x:v>
      </x:c>
      <x:c r="M30" s="81" t="str">
        <x:v>ss. 70, 80</x:v>
      </x:c>
      <x:c r="N30" s="81" t="str">
        <x:v>r. 68(4)</x:v>
      </x:c>
      <x:c r="O30" s="81" t="str">
        <x:v>Applicable PPRA STD</x:v>
      </x:c>
      <x:c r="P30" s="81" t="str">
        <x:v>Tender Configuration; Evaluation</x:v>
      </x:c>
      <x:c r="Q30" s="81" t="str">
        <x:v>Partially implemented</x:v>
      </x:c>
      <x:c r="R30" s="81" t="str">
        <x:v>Close before tender release</x:v>
      </x:c>
      <x:c r="S30" s="81" t="str">
        <x:v>SRC-002; SRC-003; SRC-004</x:v>
      </x:c>
      <x:c r="T30" s="81" t="str">
        <x:v>No scores or pass/fail outcomes may be shown before evaluation.</x:v>
      </x:c>
    </x:row>
    <x:row r="31" ht="72" customHeight="1">
      <x:c r="A31" s="86" t="str">
        <x:v>CTL-035</x:v>
      </x:c>
      <x:c r="B31" s="81" t="str">
        <x:v>Tender Preparation</x:v>
      </x:c>
      <x:c r="C31" s="81" t="str">
        <x:v>Configure applicable preferences and reservations.</x:v>
      </x:c>
      <x:c r="D31" s="81" t="str">
        <x:v>Plan/tender is prepared.</x:v>
      </x:c>
      <x:c r="E31" s="81" t="str">
        <x:v>Accounting Officer</x:v>
      </x:c>
      <x:c r="F31" s="81" t="str">
        <x:v>Head of Procurement Function; User Department</x:v>
      </x:c>
      <x:c r="G31" s="81" t="str">
        <x:v>Target-group policy, plan allocation, requirement/method and eligibility rules</x:v>
      </x:c>
      <x:c r="H31" s="81" t="str">
        <x:v>Apply lawful preference/reservation conditions and reporting fields.</x:v>
      </x:c>
      <x:c r="I31" s="81" t="str">
        <x:v>Tender preference/reservation configuration</x:v>
      </x:c>
      <x:c r="J31" s="81" t="str">
        <x:v>Rules derive from current statutory catalogue; no generic checkbox without eligibility basis.</x:v>
      </x:c>
      <x:c r="K31" s="81" t="str">
        <x:v>Rule version, target group, allocation, decisions and reports</x:v>
      </x:c>
      <x:c r="L31" s="81" t="str">
        <x:v>Tender document; evaluation; reporting</x:v>
      </x:c>
      <x:c r="M31" s="81" t="str">
        <x:v>ss. 155–158</x:v>
      </x:c>
      <x:c r="N31" s="81" t="str">
        <x:v>rr. 149–163</x:v>
      </x:c>
      <x:c r="O31" s="81" t="str">
        <x:v>Eleventh Schedule; PPRA formats</x:v>
      </x:c>
      <x:c r="P31" s="81" t="str">
        <x:v>Planning; Tender Configuration; Evaluation; Reporting</x:v>
      </x:c>
      <x:c r="Q31" s="81" t="str">
        <x:v>Planning projection exists; end-to-end unverified</x:v>
      </x:c>
      <x:c r="R31" s="81" t="str">
        <x:v>Close before tender release</x:v>
      </x:c>
      <x:c r="S31" s="81" t="str">
        <x:v>SRC-002; SRC-003; SRC-004</x:v>
      </x:c>
      <x:c r="T31" s="81" t="str">
        <x:v>County resident preference and national 30% reservation are distinct controls.</x:v>
      </x:c>
    </x:row>
    <x:row r="32" ht="72" customHeight="1">
      <x:c r="A32" s="86" t="str">
        <x:v>CTL-036</x:v>
      </x:c>
      <x:c r="B32" s="81" t="str">
        <x:v>Tender Preparation</x:v>
      </x:c>
      <x:c r="C32" s="81" t="str">
        <x:v>Appoint required committees using the current threshold/segregation matrix.</x:v>
      </x:c>
      <x:c r="D32" s="81" t="str">
        <x:v>Proceeding reaches opening/evaluation/inspection stages.</x:v>
      </x:c>
      <x:c r="E32" s="81" t="str">
        <x:v>Accounting Officer</x:v>
      </x:c>
      <x:c r="F32" s="81" t="str">
        <x:v>Head of Procurement Function</x:v>
      </x:c>
      <x:c r="G32" s="81" t="str">
        <x:v>Proceeding value/type, nominations, expertise and conflicts</x:v>
      </x:c>
      <x:c r="H32" s="81" t="str">
        <x:v>Appoint committees in writing, verify composition and collect confidentiality/conflict declarations.</x:v>
      </x:c>
      <x:c r="I32" s="81" t="str">
        <x:v>Effective committee appointments</x:v>
      </x:c>
      <x:c r="J32" s="81" t="str">
        <x:v>Task access exists only during appointment term and stage; recusals/replacements are versioned.</x:v>
      </x:c>
      <x:c r="K32" s="81" t="str">
        <x:v>Appointment letters, membership, declarations and access log</x:v>
      </x:c>
      <x:c r="L32" s="81" t="str">
        <x:v>Opening; evaluation; inspection</x:v>
      </x:c>
      <x:c r="M32" s="81" t="str">
        <x:v>ss. 46, 48</x:v>
      </x:c>
      <x:c r="N32" s="81" t="str">
        <x:v>rr. 25–35; Second Schedule</x:v>
      </x:c>
      <x:c r="O32" s="81" t="str">
        <x:v>Second and Sixth Schedules</x:v>
      </x:c>
      <x:c r="P32" s="81" t="str">
        <x:v>Shared Authorization; Tender Management</x:v>
      </x:c>
      <x:c r="Q32" s="81" t="str">
        <x:v>Partial</x:v>
      </x:c>
      <x:c r="R32" s="81" t="str">
        <x:v>Close before affected stage release</x:v>
      </x:c>
      <x:c r="S32" s="81" t="str">
        <x:v>SRC-002; SRC-003; SRC-007</x:v>
      </x:c>
      <x:c r="T32" s="81" t="str">
        <x:v>Low-value procurement may not require an evaluation committee under r.27.</x:v>
      </x:c>
    </x:row>
    <x:row r="33" ht="72" customHeight="1">
      <x:c r="A33" s="86" t="str">
        <x:v>CTL-040</x:v>
      </x:c>
      <x:c r="B33" s="81" t="str">
        <x:v>Invitation</x:v>
      </x:c>
      <x:c r="C33" s="81" t="str">
        <x:v>Prepare an invitation containing all statutory particulars.</x:v>
      </x:c>
      <x:c r="D33" s="81" t="str">
        <x:v>Tender package confirmed.</x:v>
      </x:c>
      <x:c r="E33" s="81" t="str">
        <x:v>Accounting Officer</x:v>
      </x:c>
      <x:c r="F33" s="81" t="str">
        <x:v>Procurement Function</x:v>
      </x:c>
      <x:c r="G33" s="81" t="str">
        <x:v>Confirmed tender document, dates, submission mode and eligibility</x:v>
      </x:c>
      <x:c r="H33" s="81" t="str">
        <x:v>Approve and issue the invitation using the correct method/channel.</x:v>
      </x:c>
      <x:c r="I33" s="81" t="str">
        <x:v>Invitation notice and publication record</x:v>
      </x:c>
      <x:c r="J33" s="81" t="str">
        <x:v>Validate mandatory fields and minimum preparation period before release.</x:v>
      </x:c>
      <x:c r="K33" s="81" t="str">
        <x:v>Notice version, channels, timestamps and receipts</x:v>
      </x:c>
      <x:c r="L33" s="81" t="str">
        <x:v>Candidates; State Portal</x:v>
      </x:c>
      <x:c r="M33" s="81" t="str">
        <x:v>ss. 74, 96–98</x:v>
      </x:c>
      <x:c r="N33" s="81" t="str">
        <x:v>rr. 72, 85–86</x:v>
      </x:c>
      <x:c r="O33" s="81" t="str">
        <x:v>Applicable PPRA STD</x:v>
      </x:c>
      <x:c r="P33" s="81" t="str">
        <x:v>Tender Management; State Portal</x:v>
      </x:c>
      <x:c r="Q33" s="81" t="str">
        <x:v>Partial</x:v>
      </x:c>
      <x:c r="R33" s="81" t="str">
        <x:v>Close before tender release</x:v>
      </x:c>
      <x:c r="S33" s="81" t="str">
        <x:v>SRC-002; SRC-003; SRC-004</x:v>
      </x:c>
      <x:c r="T33" s="81" t="str">
        <x:v>Tender publication is distinct from annual plan publication.</x:v>
      </x:c>
    </x:row>
    <x:row r="34" ht="72" customHeight="1">
      <x:c r="A34" s="86" t="str">
        <x:v>CTL-041</x:v>
      </x:c>
      <x:c r="B34" s="81" t="str">
        <x:v>Invitation</x:v>
      </x:c>
      <x:c r="C34" s="81" t="str">
        <x:v>Publish/issue the tender opportunity through required channels.</x:v>
      </x:c>
      <x:c r="D34" s="81" t="str">
        <x:v>Invitation approved.</x:v>
      </x:c>
      <x:c r="E34" s="81" t="str">
        <x:v>Accounting Officer</x:v>
      </x:c>
      <x:c r="F34" s="81" t="str">
        <x:v>Procurement Function</x:v>
      </x:c>
      <x:c r="G34" s="81" t="str">
        <x:v>Approved notice and tender package</x:v>
      </x:c>
      <x:c r="H34" s="81" t="str">
        <x:v>Publish to State Portal and other required media/invitees for the method.</x:v>
      </x:c>
      <x:c r="I34" s="81" t="str">
        <x:v>Publication/issue receipts</x:v>
      </x:c>
      <x:c r="J34" s="81" t="str">
        <x:v>Atomic release of notice, tender package and bidder-submission manifest; fail closed on partial publication.</x:v>
      </x:c>
      <x:c r="K34" s="81" t="str">
        <x:v>External receipts, published hash and audience</x:v>
      </x:c>
      <x:c r="L34" s="81" t="str">
        <x:v>Bidder portal</x:v>
      </x:c>
      <x:c r="M34" s="81" t="str">
        <x:v>ss. 74, 96</x:v>
      </x:c>
      <x:c r="N34" s="81" t="str">
        <x:v>rr. 49, 72, 85</x:v>
      </x:c>
      <x:c r="O34" s="81" t="str">
        <x:v>PPRA STD</x:v>
      </x:c>
      <x:c r="P34" s="81" t="str">
        <x:v>Tender Publication; Bidder Workspace</x:v>
      </x:c>
      <x:c r="Q34" s="81" t="str">
        <x:v>Partial; atomicity gap identified</x:v>
      </x:c>
      <x:c r="R34" s="81" t="str">
        <x:v>Close before tender release</x:v>
      </x:c>
      <x:c r="S34" s="81" t="str">
        <x:v>SRC-002; SRC-003; SRC-004; SRC-010</x:v>
      </x:c>
      <x:c r="T34" s="81" t="str">
        <x:v>Do not mark Published until required external receipt exists.</x:v>
      </x:c>
    </x:row>
    <x:row r="35" ht="72" customHeight="1">
      <x:c r="A35" s="86" t="str">
        <x:v>CTL-042</x:v>
      </x:c>
      <x:c r="B35" s="81" t="str">
        <x:v>Invitation</x:v>
      </x:c>
      <x:c r="C35" s="81" t="str">
        <x:v>Manage clarifications without unequal disclosure.</x:v>
      </x:c>
      <x:c r="D35" s="81" t="str">
        <x:v>Candidate requests clarification before deadline.</x:v>
      </x:c>
      <x:c r="E35" s="81" t="str">
        <x:v>Accounting Officer</x:v>
      </x:c>
      <x:c r="F35" s="81" t="str">
        <x:v>Procurement Function; User Department through HoPF</x:v>
      </x:c>
      <x:c r="G35" s="81" t="str">
        <x:v>Clarification request and tender package</x:v>
      </x:c>
      <x:c r="H35" s="81" t="str">
        <x:v>Respond through the controlled channel; share material clarification with all affected candidates.</x:v>
      </x:c>
      <x:c r="I35" s="81" t="str">
        <x:v>Clarification response and distribution record</x:v>
      </x:c>
      <x:c r="J35" s="81" t="str">
        <x:v>Deadline/recipient controls; no direct user-department communication to bidders.</x:v>
      </x:c>
      <x:c r="K35" s="81" t="str">
        <x:v>Question, answer, approver, recipients and timestamps</x:v>
      </x:c>
      <x:c r="L35" s="81" t="str">
        <x:v>Bidders; evaluation record</x:v>
      </x:c>
      <x:c r="M35" s="81" t="str">
        <x:v>ss. 75–76</x:v>
      </x:c>
      <x:c r="N35" s="81" t="str">
        <x:v>r. 51</x:v>
      </x:c>
      <x:c r="O35" s="81" t="str">
        <x:v>Applicable PPRA STD</x:v>
      </x:c>
      <x:c r="P35" s="81" t="str">
        <x:v>Tender Management; Bidder Portal</x:v>
      </x:c>
      <x:c r="Q35" s="81" t="str">
        <x:v>Not assessed</x:v>
      </x:c>
      <x:c r="R35" s="81" t="str">
        <x:v>Close before tender release</x:v>
      </x:c>
      <x:c r="S35" s="81" t="str">
        <x:v>SRC-002; SRC-003; SRC-004</x:v>
      </x:c>
      <x:c r="T35" s="81" t="str">
        <x:v>User Department clarifications pass through Head of Procurement Function under r.34(j).</x:v>
      </x:c>
    </x:row>
    <x:row r="36" ht="72" customHeight="1">
      <x:c r="A36" s="86" t="str">
        <x:v>CTL-043</x:v>
      </x:c>
      <x:c r="B36" s="81" t="str">
        <x:v>Invitation</x:v>
      </x:c>
      <x:c r="C36" s="81" t="str">
        <x:v>Issue tender amendments and extend deadlines where required.</x:v>
      </x:c>
      <x:c r="D36" s="81" t="str">
        <x:v>Approved tender terms change before closing.</x:v>
      </x:c>
      <x:c r="E36" s="81" t="str">
        <x:v>Accounting Officer</x:v>
      </x:c>
      <x:c r="F36" s="81" t="str">
        <x:v>Head of Procurement Function; User Department</x:v>
      </x:c>
      <x:c r="G36" s="81" t="str">
        <x:v>Amendment, impact analysis and affected tender version</x:v>
      </x:c>
      <x:c r="H36" s="81" t="str">
        <x:v>Approve amendment; notify all candidates; extend deadline where needed.</x:v>
      </x:c>
      <x:c r="I36" s="81" t="str">
        <x:v>Tender addendum and revised deadline</x:v>
      </x:c>
      <x:c r="J36" s="81" t="str">
        <x:v>Version sealed package; notify all recipients; invalidate obsolete submission schema only prospectively.</x:v>
      </x:c>
      <x:c r="K36" s="81" t="str">
        <x:v>Diff, approvals, notices and receipts</x:v>
      </x:c>
      <x:c r="L36" s="81" t="str">
        <x:v>Bid submissions</x:v>
      </x:c>
      <x:c r="M36" s="81" t="str">
        <x:v>ss. 75–76</x:v>
      </x:c>
      <x:c r="N36" s="81" t="str">
        <x:v>Applicable tender regulations/STD</x:v>
      </x:c>
      <x:c r="O36" s="81" t="str">
        <x:v>PPRA STD</x:v>
      </x:c>
      <x:c r="P36" s="81" t="str">
        <x:v>Tender Management; Bidder Workspace</x:v>
      </x:c>
      <x:c r="Q36" s="81" t="str">
        <x:v>Not assessed</x:v>
      </x:c>
      <x:c r="R36" s="81" t="str">
        <x:v>Close before tender release</x:v>
      </x:c>
      <x:c r="S36" s="81" t="str">
        <x:v>SRC-002; SRC-003; SRC-004</x:v>
      </x:c>
      <x:c r="T36" s="81" t="str">
        <x:v>No silent edit to a published tender.</x:v>
      </x:c>
    </x:row>
    <x:row r="37" ht="72" customHeight="1">
      <x:c r="A37" s="86" t="str">
        <x:v>CTL-044</x:v>
      </x:c>
      <x:c r="B37" s="81" t="str">
        <x:v>Submission</x:v>
      </x:c>
      <x:c r="C37" s="81" t="str">
        <x:v>Receive tenders securely until the deadline.</x:v>
      </x:c>
      <x:c r="D37" s="81" t="str">
        <x:v>Tender is open for submission.</x:v>
      </x:c>
      <x:c r="E37" s="81" t="str">
        <x:v>Accounting Officer</x:v>
      </x:c>
      <x:c r="F37" s="81" t="str">
        <x:v>Procurement Function; system custodian</x:v>
      </x:c>
      <x:c r="G37" s="81" t="str">
        <x:v>Published tender and authenticated supplier submission</x:v>
      </x:c>
      <x:c r="H37" s="81" t="str">
        <x:v>Accept, time-stamp and seal submissions; reject late/invalid submissions according to rules.</x:v>
      </x:c>
      <x:c r="I37" s="81" t="str">
        <x:v>Submission receipt and sealed tender</x:v>
      </x:c>
      <x:c r="J37" s="81" t="str">
        <x:v>Confidential encrypted storage; immutable receipt; no evaluator access before opening.</x:v>
      </x:c>
      <x:c r="K37" s="81" t="str">
        <x:v>Receipt, timestamp, checksum, submitter and access log</x:v>
      </x:c>
      <x:c r="L37" s="81" t="str">
        <x:v>Opening committee</x:v>
      </x:c>
      <x:c r="M37" s="81" t="str">
        <x:v>ss. 77–78</x:v>
      </x:c>
      <x:c r="N37" s="81" t="str">
        <x:v>rr. 55–58</x:v>
      </x:c>
      <x:c r="O37" s="81" t="str">
        <x:v>Applicable PPRA STD</x:v>
      </x:c>
      <x:c r="P37" s="81" t="str">
        <x:v>Bidder Workspace; Submission</x:v>
      </x:c>
      <x:c r="Q37" s="81" t="str">
        <x:v>Substantial manifest work; statutory stage unverified</x:v>
      </x:c>
      <x:c r="R37" s="81" t="str">
        <x:v>Close before tender release</x:v>
      </x:c>
      <x:c r="S37" s="81" t="str">
        <x:v>SRC-002; SRC-003; SRC-004</x:v>
      </x:c>
      <x:c r="T37" s="81" t="str">
        <x:v>Electronic signature and access controls require separate security verification.</x:v>
      </x:c>
    </x:row>
    <x:row r="38" ht="72" customHeight="1">
      <x:c r="A38" s="86" t="str">
        <x:v>CTL-050</x:v>
      </x:c>
      <x:c r="B38" s="81" t="str">
        <x:v>Opening</x:v>
      </x:c>
      <x:c r="C38" s="81" t="str">
        <x:v>Open tenders at the prescribed time through an appointed opening committee.</x:v>
      </x:c>
      <x:c r="D38" s="81" t="str">
        <x:v>Submission deadline passes.</x:v>
      </x:c>
      <x:c r="E38" s="81" t="str">
        <x:v>Tender Opening Committee appointed by Accounting Officer</x:v>
      </x:c>
      <x:c r="F38" s="81" t="str">
        <x:v>Procurement Function secretariat</x:v>
      </x:c>
      <x:c r="G38" s="81" t="str">
        <x:v>Sealed submissions and appointment/declarations</x:v>
      </x:c>
      <x:c r="H38" s="81" t="str">
        <x:v>Open only eligible sealed submissions and record prescribed particulars.</x:v>
      </x:c>
      <x:c r="I38" s="81" t="str">
        <x:v>Tender opening register and minutes</x:v>
      </x:c>
      <x:c r="J38" s="81" t="str">
        <x:v>Time-gated key release; quorum and appointment validation; public/read-out fields separated from sealed content.</x:v>
      </x:c>
      <x:c r="K38" s="81" t="str">
        <x:v>Register, attendance, time, opened IDs and signatures</x:v>
      </x:c>
      <x:c r="L38" s="81" t="str">
        <x:v>Evaluation committee; procurement record</x:v>
      </x:c>
      <x:c r="M38" s="81" t="str">
        <x:v>s. 78</x:v>
      </x:c>
      <x:c r="N38" s="81" t="str">
        <x:v>rr. 25, 73</x:v>
      </x:c>
      <x:c r="O38" s="81" t="str">
        <x:v>Eighth Schedule item 27 — Tender Opening Register</x:v>
      </x:c>
      <x:c r="P38" s="81" t="str">
        <x:v>Tender Opening</x:v>
      </x:c>
      <x:c r="Q38" s="81" t="str">
        <x:v>Not assessed</x:v>
      </x:c>
      <x:c r="R38" s="81" t="str">
        <x:v>Close before opening release</x:v>
      </x:c>
      <x:c r="S38" s="81" t="str">
        <x:v>SRC-002; SRC-003</x:v>
      </x:c>
      <x:c r="T38" s="81" t="str">
        <x:v>Opening committee does not evaluate.</x:v>
      </x:c>
    </x:row>
    <x:row r="39" ht="72" customHeight="1">
      <x:c r="A39" s="86" t="str">
        <x:v>CTL-051</x:v>
      </x:c>
      <x:c r="B39" s="81" t="str">
        <x:v>Evaluation</x:v>
      </x:c>
      <x:c r="C39" s="81" t="str">
        <x:v>Evaluate only against criteria in the issued tender document.</x:v>
      </x:c>
      <x:c r="D39" s="81" t="str">
        <x:v>Opening record complete and evaluation committee active.</x:v>
      </x:c>
      <x:c r="E39" s="81" t="str">
        <x:v>Evaluation Committee</x:v>
      </x:c>
      <x:c r="F39" s="81" t="str">
        <x:v>Procurement Function secretariat; technical experts</x:v>
      </x:c>
      <x:c r="G39" s="81" t="str">
        <x:v>Opened tenders, locked criteria, declarations</x:v>
      </x:c>
      <x:c r="H39" s="81" t="str">
        <x:v>Conduct preliminary, technical and financial evaluation as applicable; document reasons.</x:v>
      </x:c>
      <x:c r="I39" s="81" t="str">
        <x:v>Signed evaluation report</x:v>
      </x:c>
      <x:c r="J39" s="81" t="str">
        <x:v>Stage-gated, member-specific evaluation; criteria immutable; evidence and conflicts captured.</x:v>
      </x:c>
      <x:c r="K39" s="81" t="str">
        <x:v>Individual/committee results, reasons, signatures and timestamps</x:v>
      </x:c>
      <x:c r="L39" s="81" t="str">
        <x:v>Professional opinion</x:v>
      </x:c>
      <x:c r="M39" s="81" t="str">
        <x:v>ss. 46, 80, 82</x:v>
      </x:c>
      <x:c r="N39" s="81" t="str">
        <x:v>rr. 28–32, 74–78</x:v>
      </x:c>
      <x:c r="O39" s="81" t="str">
        <x:v>PPRA evaluation report formats</x:v>
      </x:c>
      <x:c r="P39" s="81" t="str">
        <x:v>Evaluation</x:v>
      </x:c>
      <x:c r="Q39" s="81" t="str">
        <x:v>Partially planned/implemented</x:v>
      </x:c>
      <x:c r="R39" s="81" t="str">
        <x:v>Close before evaluation release</x:v>
      </x:c>
      <x:c r="S39" s="81" t="str">
        <x:v>SRC-002; SRC-003; SRC-004</x:v>
      </x:c>
      <x:c r="T39" s="81" t="str">
        <x:v>No person outside the committee may score or alter results.</x:v>
      </x:c>
    </x:row>
    <x:row r="40" ht="72" customHeight="1">
      <x:c r="A40" s="86" t="str">
        <x:v>CTL-052</x:v>
      </x:c>
      <x:c r="B40" s="81" t="str">
        <x:v>Evaluation</x:v>
      </x:c>
      <x:c r="C40" s="81" t="str">
        <x:v>Complete evaluation within the statutory time and preserve confidentiality.</x:v>
      </x:c>
      <x:c r="D40" s="81" t="str">
        <x:v>Evaluation starts.</x:v>
      </x:c>
      <x:c r="E40" s="81" t="str">
        <x:v>Evaluation Committee</x:v>
      </x:c>
      <x:c r="F40" s="81" t="str">
        <x:v>Accounting Officer; Head of Procurement Function</x:v>
      </x:c>
      <x:c r="G40" s="81" t="str">
        <x:v>Tender closing date, evaluation timetable and confidentiality declarations</x:v>
      </x:c>
      <x:c r="H40" s="81" t="str">
        <x:v>Complete evaluation and submit report within prescribed period; escalate only through lawful extensions.</x:v>
      </x:c>
      <x:c r="I40" s="81" t="str">
        <x:v>Evaluation report with timeline evidence</x:v>
      </x:c>
      <x:c r="J40" s="81" t="str">
        <x:v>Timers, controlled escalation and sealed evaluation workspace.</x:v>
      </x:c>
      <x:c r="K40" s="81" t="str">
        <x:v>Start/end times, extension basis and access log</x:v>
      </x:c>
      <x:c r="L40" s="81" t="str">
        <x:v>Professional opinion; audit</x:v>
      </x:c>
      <x:c r="M40" s="81" t="str">
        <x:v>ss. 67, 80</x:v>
      </x:c>
      <x:c r="N40" s="81" t="str">
        <x:v>rr. 65, 74–78</x:v>
      </x:c>
      <x:c r="O40" s="81" t="str">
        <x:v>Sixth Schedule</x:v>
      </x:c>
      <x:c r="P40" s="81" t="str">
        <x:v>Evaluation</x:v>
      </x:c>
      <x:c r="Q40" s="81" t="str">
        <x:v>Not assessed</x:v>
      </x:c>
      <x:c r="R40" s="81" t="str">
        <x:v>Close before evaluation release</x:v>
      </x:c>
      <x:c r="S40" s="81" t="str">
        <x:v>SRC-002; SRC-003</x:v>
      </x:c>
      <x:c r="T40" s="81" t="str">
        <x:v>Third Schedule notes tender evaluation should not exceed 30 calendar days.</x:v>
      </x:c>
    </x:row>
    <x:row r="41" ht="72" customHeight="1">
      <x:c r="A41" s="86" t="str">
        <x:v>CTL-053</x:v>
      </x:c>
      <x:c r="B41" s="81" t="str">
        <x:v>Evaluation</x:v>
      </x:c>
      <x:c r="C41" s="81" t="str">
        <x:v>Conduct permitted clarifications without changing the substance of a tender.</x:v>
      </x:c>
      <x:c r="D41" s="81" t="str">
        <x:v>Evaluation committee identifies a permissible ambiguity.</x:v>
      </x:c>
      <x:c r="E41" s="81" t="str">
        <x:v>Evaluation Committee</x:v>
      </x:c>
      <x:c r="F41" s="81" t="str">
        <x:v>Head of Procurement Function; tenderer</x:v>
      </x:c>
      <x:c r="G41" s="81" t="str">
        <x:v>Controlled clarification request and response</x:v>
      </x:c>
      <x:c r="H41" s="81" t="str">
        <x:v>Seek and assess clarification within legal limits; keep complete record.</x:v>
      </x:c>
      <x:c r="I41" s="81" t="str">
        <x:v>Clarification record linked to evaluation</x:v>
      </x:c>
      <x:c r="J41" s="81" t="str">
        <x:v>No direct off-system contact; response deadline and non-substitution validation.</x:v>
      </x:c>
      <x:c r="K41" s="81" t="str">
        <x:v>Request, response, recipients, timestamps and committee treatment</x:v>
      </x:c>
      <x:c r="L41" s="81" t="str">
        <x:v>Evaluation report</x:v>
      </x:c>
      <x:c r="M41" s="81" t="str">
        <x:v>ss. 81–82</x:v>
      </x:c>
      <x:c r="N41" s="81" t="str">
        <x:v>Applicable regulations/STD</x:v>
      </x:c>
      <x:c r="O41" s="81" t="str">
        <x:v>PPRA STD</x:v>
      </x:c>
      <x:c r="P41" s="81" t="str">
        <x:v>Evaluation; Supplier Communications</x:v>
      </x:c>
      <x:c r="Q41" s="81" t="str">
        <x:v>Not assessed</x:v>
      </x:c>
      <x:c r="R41" s="81" t="str">
        <x:v>Close before evaluation release</x:v>
      </x:c>
      <x:c r="S41" s="81" t="str">
        <x:v>SRC-002; SRC-003; SRC-004</x:v>
      </x:c>
      <x:c r="T41" s="81" t="str">
        <x:v>Clarification cannot cure material non-responsiveness or rewrite the bid.</x:v>
      </x:c>
    </x:row>
    <x:row r="42" ht="72" customHeight="1">
      <x:c r="A42" s="86" t="str">
        <x:v>CTL-054</x:v>
      </x:c>
      <x:c r="B42" s="81" t="str">
        <x:v>Evaluation</x:v>
      </x:c>
      <x:c r="C42" s="81" t="str">
        <x:v>Prepare and sign the evaluation recommendation.</x:v>
      </x:c>
      <x:c r="D42" s="81" t="str">
        <x:v>Evaluation complete.</x:v>
      </x:c>
      <x:c r="E42" s="81" t="str">
        <x:v>Evaluation Committee</x:v>
      </x:c>
      <x:c r="F42" s="81" t="str">
        <x:v>Procurement Function secretariat</x:v>
      </x:c>
      <x:c r="G42" s="81" t="str">
        <x:v>Evaluation results and evidence</x:v>
      </x:c>
      <x:c r="H42" s="81" t="str">
        <x:v>Approve the committee report and recommendation.</x:v>
      </x:c>
      <x:c r="I42" s="81" t="str">
        <x:v>Evaluation report</x:v>
      </x:c>
      <x:c r="J42" s="81" t="str">
        <x:v>Require member signatures/declarations; preserve dissent/recusal and immutable report version.</x:v>
      </x:c>
      <x:c r="K42" s="81" t="str">
        <x:v>Signed report and evidence bundle</x:v>
      </x:c>
      <x:c r="L42" s="81" t="str">
        <x:v>Head of Procurement Function</x:v>
      </x:c>
      <x:c r="M42" s="81" t="str">
        <x:v>ss. 80, 84</x:v>
      </x:c>
      <x:c r="N42" s="81" t="str">
        <x:v>rr. 74–78</x:v>
      </x:c>
      <x:c r="O42" s="81" t="str">
        <x:v>PPRA evaluation report formats</x:v>
      </x:c>
      <x:c r="P42" s="81" t="str">
        <x:v>Evaluation</x:v>
      </x:c>
      <x:c r="Q42" s="81" t="str">
        <x:v>Not assessed</x:v>
      </x:c>
      <x:c r="R42" s="81" t="str">
        <x:v>Close before evaluation release</x:v>
      </x:c>
      <x:c r="S42" s="81" t="str">
        <x:v>SRC-002; SRC-003; SRC-004</x:v>
      </x:c>
      <x:c r="T42" s="81" t="str">
        <x:v>Recommendation is not the award decision.</x:v>
      </x:c>
    </x:row>
    <x:row r="43" ht="72" customHeight="1">
      <x:c r="A43" s="86" t="str">
        <x:v>CTL-060</x:v>
      </x:c>
      <x:c r="B43" s="81" t="str">
        <x:v>Professional Opinion</x:v>
      </x:c>
      <x:c r="C43" s="81" t="str">
        <x:v>Review the proceeding and issue the Head of Procurement Function's professional opinion.</x:v>
      </x:c>
      <x:c r="D43" s="81" t="str">
        <x:v>Evaluation report received.</x:v>
      </x:c>
      <x:c r="E43" s="81" t="str">
        <x:v>Head of Procurement Function</x:v>
      </x:c>
      <x:c r="F43" s="81" t="str">
        <x:v>Procurement professional; User Department where scope change considered</x:v>
      </x:c>
      <x:c r="G43" s="81" t="str">
        <x:v>Evaluation report, procurement file, market/funding evidence</x:v>
      </x:c>
      <x:c r="H43" s="81" t="str">
        <x:v>Review legality, criteria adherence, price, funding and recommendation using the prescribed format.</x:v>
      </x:c>
      <x:c r="I43" s="81" t="str">
        <x:v>Professional opinion</x:v>
      </x:c>
      <x:c r="J43" s="81" t="str">
        <x:v>Ninth Schedule structured form; prevent submission without each applicable review area and attachments.</x:v>
      </x:c>
      <x:c r="K43" s="81" t="str">
        <x:v>Opinion version, author, findings, recommendation and date</x:v>
      </x:c>
      <x:c r="L43" s="81" t="str">
        <x:v>Accounting Officer award decision</x:v>
      </x:c>
      <x:c r="M43" s="81" t="str">
        <x:v>s. 84</x:v>
      </x:c>
      <x:c r="N43" s="81" t="str">
        <x:v>r. 78</x:v>
      </x:c>
      <x:c r="O43" s="81" t="str">
        <x:v>Ninth Schedule</x:v>
      </x:c>
      <x:c r="P43" s="81" t="str">
        <x:v>Tender Management; Awards</x:v>
      </x:c>
      <x:c r="Q43" s="81" t="str">
        <x:v>Underdeveloped/unverified</x:v>
      </x:c>
      <x:c r="R43" s="81" t="str">
        <x:v>Close before award release</x:v>
      </x:c>
      <x:c r="S43" s="81" t="str">
        <x:v>SRC-002; SRC-003</x:v>
      </x:c>
      <x:c r="T43" s="81" t="str">
        <x:v>Must remain separate from evaluation committee report.</x:v>
      </x:c>
    </x:row>
    <x:row r="44" ht="72" customHeight="1">
      <x:c r="A44" s="86" t="str">
        <x:v>CTL-061</x:v>
      </x:c>
      <x:c r="B44" s="81" t="str">
        <x:v>Award</x:v>
      </x:c>
      <x:c r="C44" s="81" t="str">
        <x:v>Make the award decision within the Accounting Officer's authority.</x:v>
      </x:c>
      <x:c r="D44" s="81" t="str">
        <x:v>Professional opinion and evaluation report submitted.</x:v>
      </x:c>
      <x:c r="E44" s="81" t="str">
        <x:v>Accounting Officer</x:v>
      </x:c>
      <x:c r="F44" s="81" t="str">
        <x:v>Head of Procurement Function</x:v>
      </x:c>
      <x:c r="G44" s="81" t="str">
        <x:v>Evaluation report, professional opinion, funding evidence and full proceeding summary</x:v>
      </x:c>
      <x:c r="H44" s="81" t="str">
        <x:v>Approve the recommendation, reject/return lawfully, or terminate under the Act with reasons.</x:v>
      </x:c>
      <x:c r="I44" s="81" t="str">
        <x:v>Accounting Officer award decision</x:v>
      </x:c>
      <x:c r="J44" s="81" t="str">
        <x:v>Only the appointed AO/delegate permitted by current law may command award; decision references sealed inputs.</x:v>
      </x:c>
      <x:c r="K44" s="81" t="str">
        <x:v>Decision, reasons, actor authority, timestamp and version hashes</x:v>
      </x:c>
      <x:c r="L44" s="81" t="str">
        <x:v>Notification; contract preparation</x:v>
      </x:c>
      <x:c r="M44" s="81" t="str">
        <x:v>ss. 44, 84–87</x:v>
      </x:c>
      <x:c r="N44" s="81" t="str">
        <x:v>rr. 78–82; Second Schedule</x:v>
      </x:c>
      <x:c r="O44" s="81" t="str">
        <x:v>Ninth Schedule</x:v>
      </x:c>
      <x:c r="P44" s="81" t="str">
        <x:v>Awards; Shared Authorization</x:v>
      </x:c>
      <x:c r="Q44" s="81" t="str">
        <x:v>Current Planning mistakenly used HoP finality in places; award module not verified</x:v>
      </x:c>
      <x:c r="R44" s="81" t="str">
        <x:v>Close before award release</x:v>
      </x:c>
      <x:c r="S44" s="81" t="str">
        <x:v>SRC-002; SRC-003; SRC-007</x:v>
      </x:c>
      <x:c r="T44" s="81" t="str">
        <x:v>The Accounting Officer is the final administrative award authority under the PPADA process; separate governing-body approvals may apply to annual plans.</x:v>
      </x:c>
    </x:row>
    <x:row r="45" ht="72" customHeight="1">
      <x:c r="A45" s="86" t="str">
        <x:v>CTL-062</x:v>
      </x:c>
      <x:c r="B45" s="81" t="str">
        <x:v>Award</x:v>
      </x:c>
      <x:c r="C45" s="81" t="str">
        <x:v>Notify successful and unsuccessful tenderers simultaneously with required information.</x:v>
      </x:c>
      <x:c r="D45" s="81" t="str">
        <x:v>Award decision made and no lawful bar prevents notification.</x:v>
      </x:c>
      <x:c r="E45" s="81" t="str">
        <x:v>Accounting Officer</x:v>
      </x:c>
      <x:c r="F45" s="81" t="str">
        <x:v>Procurement Function</x:v>
      </x:c>
      <x:c r="G45" s="81" t="str">
        <x:v>Award decision and tenderer contacts</x:v>
      </x:c>
      <x:c r="H45" s="81" t="str">
        <x:v>Issue notices and debriefing information in the prescribed manner.</x:v>
      </x:c>
      <x:c r="I45" s="81" t="str">
        <x:v>Notification records and delivery receipts</x:v>
      </x:c>
      <x:c r="J45" s="81" t="str">
        <x:v>Single controlled batch; no contract execution before mandatory standstill/conditions.</x:v>
      </x:c>
      <x:c r="K45" s="81" t="str">
        <x:v>Notice content, recipients, timestamps and receipts</x:v>
      </x:c>
      <x:c r="L45" s="81" t="str">
        <x:v>Contract; administrative review</x:v>
      </x:c>
      <x:c r="M45" s="81" t="str">
        <x:v>ss. 86–87</x:v>
      </x:c>
      <x:c r="N45" s="81" t="str">
        <x:v>rr. 79–82</x:v>
      </x:c>
      <x:c r="O45" s="81" t="str">
        <x:v>Applicable PPRA STD</x:v>
      </x:c>
      <x:c r="P45" s="81" t="str">
        <x:v>Awards; Supplier Communications</x:v>
      </x:c>
      <x:c r="Q45" s="81" t="str">
        <x:v>Not assessed</x:v>
      </x:c>
      <x:c r="R45" s="81" t="str">
        <x:v>Close before award release</x:v>
      </x:c>
      <x:c r="S45" s="81" t="str">
        <x:v>SRC-002; SRC-003; SRC-004</x:v>
      </x:c>
      <x:c r="T45" s="81" t="str">
        <x:v>Successful bidder notification is not contract formation by itself.</x:v>
      </x:c>
    </x:row>
    <x:row r="46" ht="72" customHeight="1">
      <x:c r="A46" s="86" t="str">
        <x:v>CTL-063</x:v>
      </x:c>
      <x:c r="B46" s="81" t="str">
        <x:v>Award</x:v>
      </x:c>
      <x:c r="C46" s="81" t="str">
        <x:v>Publish tender/contract award information as required.</x:v>
      </x:c>
      <x:c r="D46" s="81" t="str">
        <x:v>Award/contract reaches the reportable publication point.</x:v>
      </x:c>
      <x:c r="E46" s="81" t="str">
        <x:v>Accounting Officer</x:v>
      </x:c>
      <x:c r="F46" s="81" t="str">
        <x:v>Procurement Function; State Portal integration</x:v>
      </x:c>
      <x:c r="G46" s="81" t="str">
        <x:v>Award decision, beneficial ownership data and contract particulars</x:v>
      </x:c>
      <x:c r="H46" s="81" t="str">
        <x:v>Publish required award information and retain receipt.</x:v>
      </x:c>
      <x:c r="I46" s="81" t="str">
        <x:v>Award publication record</x:v>
      </x:c>
      <x:c r="J46" s="81" t="str">
        <x:v>Distinct labels for tender opportunity, award and annual plan publication; validate reportable fields.</x:v>
      </x:c>
      <x:c r="K46" s="81" t="str">
        <x:v>Payload, external receipt, publication date and source record</x:v>
      </x:c>
      <x:c r="L46" s="81" t="str">
        <x:v>State Portal; public transparency</x:v>
      </x:c>
      <x:c r="M46" s="81" t="str">
        <x:v>ss. 87, 138</x:v>
      </x:c>
      <x:c r="N46" s="81" t="str">
        <x:v>rr. 49, 131</x:v>
      </x:c>
      <x:c r="O46" s="81" t="str">
        <x:v>PPRA formats; beneficial ownership form</x:v>
      </x:c>
      <x:c r="P46" s="81" t="str">
        <x:v>Awards; State Portal</x:v>
      </x:c>
      <x:c r="Q46" s="81" t="str">
        <x:v>Partial</x:v>
      </x:c>
      <x:c r="R46" s="81" t="str">
        <x:v>Close before award release</x:v>
      </x:c>
      <x:c r="S46" s="81" t="str">
        <x:v>SRC-002; SRC-003; SRC-004</x:v>
      </x:c>
      <x:c r="T46" s="81" t="str">
        <x:v>Confirm current beneficial-ownership field set from the active PPRA STD.</x:v>
      </x:c>
    </x:row>
    <x:row r="47" ht="72" customHeight="1">
      <x:c r="A47" s="86" t="str">
        <x:v>CTL-070</x:v>
      </x:c>
      <x:c r="B47" s="81" t="str">
        <x:v>Contract Formation</x:v>
      </x:c>
      <x:c r="C47" s="81" t="str">
        <x:v>Observe statutory contract-formation conditions and prepare the contract from the award.</x:v>
      </x:c>
      <x:c r="D47" s="81" t="str">
        <x:v>Notification issued and applicable waiting period/conditions satisfied.</x:v>
      </x:c>
      <x:c r="E47" s="81" t="str">
        <x:v>Accounting Officer</x:v>
      </x:c>
      <x:c r="F47" s="81" t="str">
        <x:v>Head of Procurement Function; supplier</x:v>
      </x:c>
      <x:c r="G47" s="81" t="str">
        <x:v>Award decision, tender, accepted offer, securities and contract form</x:v>
      </x:c>
      <x:c r="H47" s="81" t="str">
        <x:v>Prepare and sign the written contract without changing the awarded substance.</x:v>
      </x:c>
      <x:c r="I47" s="81" t="str">
        <x:v>Executed contract</x:v>
      </x:c>
      <x:c r="J47" s="81" t="str">
        <x:v>Compare contract to sealed award package; block unauthorized material differences; record signatures.</x:v>
      </x:c>
      <x:c r="K47" s="81" t="str">
        <x:v>Contract version/hash, signatories, authority, securities and dates</x:v>
      </x:c>
      <x:c r="L47" s="81" t="str">
        <x:v>Contract implementation</x:v>
      </x:c>
      <x:c r="M47" s="81" t="str">
        <x:v>ss. 134–142</x:v>
      </x:c>
      <x:c r="N47" s="81" t="str">
        <x:v>rr. 131–136</x:v>
      </x:c>
      <x:c r="O47" s="81" t="str">
        <x:v>Eighth Schedule contract forms; PPRA STD</x:v>
      </x:c>
      <x:c r="P47" s="81" t="str">
        <x:v>Contracts; Awards</x:v>
      </x:c>
      <x:c r="Q47" s="81" t="str">
        <x:v>Contract Management shown as planned</x:v>
      </x:c>
      <x:c r="R47" s="81" t="str">
        <x:v>Close before contract release</x:v>
      </x:c>
      <x:c r="S47" s="81" t="str">
        <x:v>SRC-002; SRC-003; SRC-004</x:v>
      </x:c>
      <x:c r="T47" s="81" t="str">
        <x:v>Contract signature authority follows Second Schedule/current delegation.</x:v>
      </x:c>
    </x:row>
    <x:row r="48" ht="72" customHeight="1">
      <x:c r="A48" s="86" t="str">
        <x:v>CTL-071</x:v>
      </x:c>
      <x:c r="B48" s="81" t="str">
        <x:v>Contract Formation</x:v>
      </x:c>
      <x:c r="C48" s="81" t="str">
        <x:v>Capture and safeguard required securities.</x:v>
      </x:c>
      <x:c r="D48" s="81" t="str">
        <x:v>Tender/contract requires tender, performance, advance-payment or professional-indemnity security.</x:v>
      </x:c>
      <x:c r="E48" s="81" t="str">
        <x:v>Head of Procurement Function / Head of Accounting Unit as prescribed</x:v>
      </x:c>
      <x:c r="F48" s="81" t="str">
        <x:v>Accounting Officer; supplier</x:v>
      </x:c>
      <x:c r="G48" s="81" t="str">
        <x:v>Security instrument and applicable threshold/STD</x:v>
      </x:c>
      <x:c r="H48" s="81" t="str">
        <x:v>Validate, accept, custody, monitor and release/claim the security.</x:v>
      </x:c>
      <x:c r="I48" s="81" t="str">
        <x:v>Security register and custody record</x:v>
      </x:c>
      <x:c r="J48" s="81" t="str">
        <x:v>Expiry alerts, custody role restrictions and linkage to contract obligations.</x:v>
      </x:c>
      <x:c r="K48" s="81" t="str">
        <x:v>Instrument, issuer, amount, expiry, custodian and actions</x:v>
      </x:c>
      <x:c r="L48" s="81" t="str">
        <x:v>Contract administration; payment</x:v>
      </x:c>
      <x:c r="M48" s="81" t="str">
        <x:v>ss. 61, 142</x:v>
      </x:c>
      <x:c r="N48" s="81" t="str">
        <x:v>r. 135</x:v>
      </x:c>
      <x:c r="O48" s="81" t="str">
        <x:v>Fourth Schedule; PPRA STD</x:v>
      </x:c>
      <x:c r="P48" s="81" t="str">
        <x:v>Tender Security; Contracts</x:v>
      </x:c>
      <x:c r="Q48" s="81" t="str">
        <x:v>Tender security work exists; end-to-end unverified</x:v>
      </x:c>
      <x:c r="R48" s="81" t="str">
        <x:v>Close before affected tender/contract release</x:v>
      </x:c>
      <x:c r="S48" s="81" t="str">
        <x:v>SRC-002; SRC-003; SRC-004</x:v>
      </x:c>
      <x:c r="T48" s="81" t="str">
        <x:v>Custody differs by security type under r.135.</x:v>
      </x:c>
    </x:row>
    <x:row r="49" ht="72" customHeight="1">
      <x:c r="A49" s="86" t="str">
        <x:v>CTL-072</x:v>
      </x:c>
      <x:c r="B49" s="81" t="str">
        <x:v>Contract Implementation</x:v>
      </x:c>
      <x:c r="C49" s="81" t="str">
        <x:v>Appoint the contract implementation team/manager where required and hand over the complete contract file.</x:v>
      </x:c>
      <x:c r="D49" s="81" t="str">
        <x:v>Contract executed.</x:v>
      </x:c>
      <x:c r="E49" s="81" t="str">
        <x:v>Accounting Officer</x:v>
      </x:c>
      <x:c r="F49" s="81" t="str">
        <x:v>User Department; Head of Procurement Function; technical staff</x:v>
      </x:c>
      <x:c r="G49" s="81" t="str">
        <x:v>Executed contract, specifications, milestones, securities and appointment</x:v>
      </x:c>
      <x:c r="H49" s="81" t="str">
        <x:v>Appoint responsible implementation actors and commence monitored performance.</x:v>
      </x:c>
      <x:c r="I49" s="81" t="str">
        <x:v>Contract implementation plan and appointments</x:v>
      </x:c>
      <x:c r="J49" s="81" t="str">
        <x:v>Tasks, milestones and access derive from appointments; no procurement-system admin assumption.</x:v>
      </x:c>
      <x:c r="K49" s="81" t="str">
        <x:v>Appointments, handover checklist and baseline plan</x:v>
      </x:c>
      <x:c r="L49" s="81" t="str">
        <x:v>Delivery; inspection; payment</x:v>
      </x:c>
      <x:c r="M49" s="81" t="str">
        <x:v>ss. 44, 151</x:v>
      </x:c>
      <x:c r="N49" s="81" t="str">
        <x:v>rr. 137–141</x:v>
      </x:c>
      <x:c r="O49" s="81" t="str">
        <x:v>Applicable PPRA STD</x:v>
      </x:c>
      <x:c r="P49" s="81" t="str">
        <x:v>Contract Management</x:v>
      </x:c>
      <x:c r="Q49" s="81" t="str">
        <x:v>Planned/not implemented</x:v>
      </x:c>
      <x:c r="R49" s="81" t="str">
        <x:v>Close before contract-management release</x:v>
      </x:c>
      <x:c r="S49" s="81" t="str">
        <x:v>SRC-002; SRC-003; SRC-004</x:v>
      </x:c>
      <x:c r="T49" s="81" t="str">
        <x:v>User Department manages and reports performance; Procurement Function monitors.</x:v>
      </x:c>
    </x:row>
    <x:row r="50" ht="72" customHeight="1">
      <x:c r="A50" s="86" t="str">
        <x:v>CTL-073</x:v>
      </x:c>
      <x:c r="B50" s="81" t="str">
        <x:v>Contract Implementation</x:v>
      </x:c>
      <x:c r="C50" s="81" t="str">
        <x:v>Monitor performance, milestones, departures and remedies.</x:v>
      </x:c>
      <x:c r="D50" s="81" t="str">
        <x:v>Contract is active.</x:v>
      </x:c>
      <x:c r="E50" s="81" t="str">
        <x:v>User Department / Contract Manager</x:v>
      </x:c>
      <x:c r="F50" s="81" t="str">
        <x:v>Procurement Function; supplier; technical experts</x:v>
      </x:c>
      <x:c r="G50" s="81" t="str">
        <x:v>Contract baseline, deliverables, progress evidence and issues</x:v>
      </x:c>
      <x:c r="H50" s="81" t="str">
        <x:v>Record performance, certify milestones and escalate departures.</x:v>
      </x:c>
      <x:c r="I50" s="81" t="str">
        <x:v>Progress reports, issue/remedy records and updated forecast</x:v>
      </x:c>
      <x:c r="J50" s="81" t="str">
        <x:v>No silent baseline changes; every exception ties to contract clause and decision authority.</x:v>
      </x:c>
      <x:c r="K50" s="81" t="str">
        <x:v>Milestone evidence, correspondence, decisions and audit trail</x:v>
      </x:c>
      <x:c r="L50" s="81" t="str">
        <x:v>Inspection; payment; variation; termination</x:v>
      </x:c>
      <x:c r="M50" s="81" t="str">
        <x:v>ss. 151–152</x:v>
      </x:c>
      <x:c r="N50" s="81" t="str">
        <x:v>rr. 34(c)–(f), 137–141</x:v>
      </x:c>
      <x:c r="O50" s="81" t="str">
        <x:v>Applicable PPRA STD</x:v>
      </x:c>
      <x:c r="P50" s="81" t="str">
        <x:v>Contract Management</x:v>
      </x:c>
      <x:c r="Q50" s="81" t="str">
        <x:v>Planned</x:v>
      </x:c>
      <x:c r="R50" s="81" t="str">
        <x:v>Close before contract-management release</x:v>
      </x:c>
      <x:c r="S50" s="81" t="str">
        <x:v>SRC-002; SRC-003; SRC-004</x:v>
      </x:c>
      <x:c r="T50" s="81" t="str">
        <x:v>Procurement Function monitors contract management by User Departments.</x:v>
      </x:c>
    </x:row>
    <x:row r="51" ht="72" customHeight="1">
      <x:c r="A51" s="86" t="str">
        <x:v>CTL-074</x:v>
      </x:c>
      <x:c r="B51" s="81" t="str">
        <x:v>Contract Variation</x:v>
      </x:c>
      <x:c r="C51" s="81" t="str">
        <x:v>Control contract variations, extensions and use of contingencies/provisional sums.</x:v>
      </x:c>
      <x:c r="D51" s="81" t="str">
        <x:v>Change request arises during contract.</x:v>
      </x:c>
      <x:c r="E51" s="81" t="str">
        <x:v>Accounting Officer</x:v>
      </x:c>
      <x:c r="F51" s="81" t="str">
        <x:v>User Department; evaluation committee or contract implementation team; Head of Procurement Function; Finance Function</x:v>
      </x:c>
      <x:c r="G51" s="81" t="str">
        <x:v>Change request, contract clause, technical/financial analysis and funding</x:v>
      </x:c>
      <x:c r="H51" s="81" t="str">
        <x:v>Review statutory limits/conditions, secure funds first and approve/reject through the prescribed route.</x:v>
      </x:c>
      <x:c r="I51" s="81" t="str">
        <x:v>Approved variation or rejection</x:v>
      </x:c>
      <x:c r="J51" s="81" t="str">
        <x:v>Cumulative variation calculator; time/quantity/value limits; no implementation before approval and funding.</x:v>
      </x:c>
      <x:c r="K51" s="81" t="str">
        <x:v>Request, recommendations, funding, decision and amended contract</x:v>
      </x:c>
      <x:c r="L51" s="81" t="str">
        <x:v>Contract delivery; reporting</x:v>
      </x:c>
      <x:c r="M51" s="81" t="str">
        <x:v>s. 139</x:v>
      </x:c>
      <x:c r="N51" s="81" t="str">
        <x:v>Applicable rr. 132–133</x:v>
      </x:c>
      <x:c r="O51" s="81" t="str">
        <x:v>Applicable PPRA STD</x:v>
      </x:c>
      <x:c r="P51" s="81" t="str">
        <x:v>Contract Management; Budget</x:v>
      </x:c>
      <x:c r="Q51" s="81" t="str">
        <x:v>Missing/planned</x:v>
      </x:c>
      <x:c r="R51" s="81" t="str">
        <x:v>Close before variation feature release</x:v>
      </x:c>
      <x:c r="S51" s="81" t="str">
        <x:v>SRC-002; SRC-003; SRC-006</x:v>
      </x:c>
      <x:c r="T51" s="81" t="str">
        <x:v>Exact regulation numbering and current limits must be pinned in the compliance catalogue.</x:v>
      </x:c>
    </x:row>
    <x:row r="52" ht="72" customHeight="1">
      <x:c r="A52" s="86" t="str">
        <x:v>CTL-075</x:v>
      </x:c>
      <x:c r="B52" s="81" t="str">
        <x:v>Inspection &amp; Acceptance</x:v>
      </x:c>
      <x:c r="C52" s="81" t="str">
        <x:v>Inspect and accept/reject delivered goods, works or services through the prescribed actor/committee.</x:v>
      </x:c>
      <x:c r="D52" s="81" t="str">
        <x:v>Delivery or milestone is presented for acceptance.</x:v>
      </x:c>
      <x:c r="E52" s="81" t="str">
        <x:v>Accounting Officer or appointed Inspection and Acceptance Committee</x:v>
      </x:c>
      <x:c r="F52" s="81" t="str">
        <x:v>User Department; technical department; Procurement Function</x:v>
      </x:c>
      <x:c r="G52" s="81" t="str">
        <x:v>Contract, specifications, delivery record and committee appointment</x:v>
      </x:c>
      <x:c r="H52" s="81" t="str">
        <x:v>Inspect quantity, quality, timeliness and conformity; accept, reject or require remedy.</x:v>
      </x:c>
      <x:c r="I52" s="81" t="str">
        <x:v>Inspection and acceptance report/certificate</x:v>
      </x:c>
      <x:c r="J52" s="81" t="str">
        <x:v>Committee validation; structured conformity checks; rejected items cannot progress to payment/stores acceptance.</x:v>
      </x:c>
      <x:c r="K52" s="81" t="str">
        <x:v>Inspection evidence, findings, signatures, date and disposition</x:v>
      </x:c>
      <x:c r="L52" s="81" t="str">
        <x:v>Stores; payment; supplier performance</x:v>
      </x:c>
      <x:c r="M52" s="81" t="str">
        <x:v>ss. 48, 150–151</x:v>
      </x:c>
      <x:c r="N52" s="81" t="str">
        <x:v>rr. 35; 139–141; Second Schedule</x:v>
      </x:c>
      <x:c r="O52" s="81" t="str">
        <x:v>Eighth Schedule stores/receipt forms</x:v>
      </x:c>
      <x:c r="P52" s="81" t="str">
        <x:v>Inspection; Contract Management</x:v>
      </x:c>
      <x:c r="Q52" s="81" t="str">
        <x:v>Not implemented</x:v>
      </x:c>
      <x:c r="R52" s="81" t="str">
        <x:v>Close before receipt/payment release</x:v>
      </x:c>
      <x:c r="S52" s="81" t="str">
        <x:v>SRC-002; SRC-003</x:v>
      </x:c>
      <x:c r="T52" s="81" t="str">
        <x:v>Verification actor depends on the Second Schedule and written appointment.</x:v>
      </x:c>
    </x:row>
    <x:row r="53" ht="72" customHeight="1">
      <x:c r="A53" s="86" t="str">
        <x:v>CTL-076</x:v>
      </x:c>
      <x:c r="B53" s="81" t="str">
        <x:v>Stores</x:v>
      </x:c>
      <x:c r="C53" s="81" t="str">
        <x:v>Receive goods into stores and maintain prescribed stock/issue records.</x:v>
      </x:c>
      <x:c r="D53" s="81" t="str">
        <x:v>Accepted goods are delivered or low-value goods taken on charge.</x:v>
      </x:c>
      <x:c r="E53" s="81" t="str">
        <x:v>Head of Procurement Function / Stores Officer</x:v>
      </x:c>
      <x:c r="F53" s="81" t="str">
        <x:v>User Department; Inspection Committee</x:v>
      </x:c>
      <x:c r="G53" s="81" t="str">
        <x:v>Acceptance record, LPO/contract and delivery note</x:v>
      </x:c>
      <x:c r="H53" s="81" t="str">
        <x:v>Take goods on charge, record receipt, storage and issue.</x:v>
      </x:c>
      <x:c r="I53" s="81" t="str">
        <x:v>Stores receipt, bin/stock record and issue voucher</x:v>
      </x:c>
      <x:c r="J53" s="81" t="str">
        <x:v>Quantity reconciliation; no issue beyond stock; signatures and traceability to contract.</x:v>
      </x:c>
      <x:c r="K53" s="81" t="str">
        <x:v>Receipt/issue records, stock balance and approvals</x:v>
      </x:c>
      <x:c r="L53" s="81" t="str">
        <x:v>Asset/inventory; user department</x:v>
      </x:c>
      <x:c r="M53" s="81" t="str">
        <x:v>ss. 150, 162</x:v>
      </x:c>
      <x:c r="N53" s="81" t="str">
        <x:v>rr. 93(3), 171</x:v>
      </x:c>
      <x:c r="O53" s="81" t="str">
        <x:v>Eighth Schedule items 34–36; Twelfth Schedule</x:v>
      </x:c>
      <x:c r="P53" s="81" t="str">
        <x:v>Stores; Asset Management</x:v>
      </x:c>
      <x:c r="Q53" s="81" t="str">
        <x:v>Not assessed</x:v>
      </x:c>
      <x:c r="R53" s="81" t="str">
        <x:v>Close before stores feature release</x:v>
      </x:c>
      <x:c r="S53" s="81" t="str">
        <x:v>SRC-002; SRC-003</x:v>
      </x:c>
      <x:c r="T53" s="81" t="str">
        <x:v>Low-value purchases still require quantity/quality confirmation and stores receipt.</x:v>
      </x:c>
    </x:row>
    <x:row r="54" ht="72" customHeight="1">
      <x:c r="A54" s="86" t="str">
        <x:v>CTL-077</x:v>
      </x:c>
      <x:c r="B54" s="81" t="str">
        <x:v>Payment</x:v>
      </x:c>
      <x:c r="C54" s="81" t="str">
        <x:v>Certify invoices and support prompt payment only after valid acceptance.</x:v>
      </x:c>
      <x:c r="D54" s="81" t="str">
        <x:v>Supplier invoice received and payable milestone achieved.</x:v>
      </x:c>
      <x:c r="E54" s="81" t="str">
        <x:v>Head of Procurement Function / responsible certifying officer</x:v>
      </x:c>
      <x:c r="F54" s="81" t="str">
        <x:v>User Department; Finance Function; Contract Manager</x:v>
      </x:c>
      <x:c r="G54" s="81" t="str">
        <x:v>Invoice, contract/order, acceptance certificate and tax documents</x:v>
      </x:c>
      <x:c r="H54" s="81" t="str">
        <x:v>Match, certify and route for payment; reject discrepancies.</x:v>
      </x:c>
      <x:c r="I54" s="81" t="str">
        <x:v>Certified invoice/payment voucher and payment status</x:v>
      </x:c>
      <x:c r="J54" s="81" t="str">
        <x:v>Three-way/contract match, duplicate-invoice control, separation from payment execution, due-date monitoring.</x:v>
      </x:c>
      <x:c r="K54" s="81" t="str">
        <x:v>Certification, exceptions, approval chain and external payment reference</x:v>
      </x:c>
      <x:c r="L54" s="81" t="str">
        <x:v>Finance system; supplier performance</x:v>
      </x:c>
      <x:c r="M54" s="81" t="str">
        <x:v>ss. 150–151</x:v>
      </x:c>
      <x:c r="N54" s="81" t="str">
        <x:v>rr. 64, 150, 171</x:v>
      </x:c>
      <x:c r="O54" s="81" t="str">
        <x:v>Eighth Schedule order/stores forms</x:v>
      </x:c>
      <x:c r="P54" s="81" t="str">
        <x:v>Invoicing; Contract Management; Finance Integration</x:v>
      </x:c>
      <x:c r="Q54" s="81" t="str">
        <x:v>Out of current MVP</x:v>
      </x:c>
      <x:c r="R54" s="81" t="str">
        <x:v>Close before payment feature release</x:v>
      </x:c>
      <x:c r="S54" s="81" t="str">
        <x:v>SRC-002; SRC-003; SRC-006</x:v>
      </x:c>
      <x:c r="T54" s="81" t="str">
        <x:v>KenTender should not replace IFMIS/general ledger; preserve interface evidence.</x:v>
      </x:c>
    </x:row>
    <x:row r="55" ht="72" customHeight="1">
      <x:c r="A55" s="86" t="str">
        <x:v>CTL-078</x:v>
      </x:c>
      <x:c r="B55" s="81" t="str">
        <x:v>Contract Closure</x:v>
      </x:c>
      <x:c r="C55" s="81" t="str">
        <x:v>Close or terminate the contract and release/retain controls appropriately.</x:v>
      </x:c>
      <x:c r="D55" s="81" t="str">
        <x:v>All obligations complete or lawful termination event occurs.</x:v>
      </x:c>
      <x:c r="E55" s="81" t="str">
        <x:v>Accounting Officer</x:v>
      </x:c>
      <x:c r="F55" s="81" t="str">
        <x:v>User Department; Head of Procurement Function; Finance Function</x:v>
      </x:c>
      <x:c r="G55" s="81" t="str">
        <x:v>Completion evidence or termination grounds, outstanding obligations and securities</x:v>
      </x:c>
      <x:c r="H55" s="81" t="str">
        <x:v>Approve closure/termination, final account, release/claim securities and record supplier performance.</x:v>
      </x:c>
      <x:c r="I55" s="81" t="str">
        <x:v>Closure/termination record</x:v>
      </x:c>
      <x:c r="J55" s="81" t="str">
        <x:v>Prevent closure with unresolved deliverables/claims; publish/report termination where required; preserve full history.</x:v>
      </x:c>
      <x:c r="K55" s="81" t="str">
        <x:v>Decision, completion certificate, final balances and notices</x:v>
      </x:c>
      <x:c r="L55" s="81" t="str">
        <x:v>Archives; supplier performance; planning</x:v>
      </x:c>
      <x:c r="M55" s="81" t="str">
        <x:v>ss. 63, 152–153</x:v>
      </x:c>
      <x:c r="N55" s="81" t="str">
        <x:v>rr. 48, 141</x:v>
      </x:c>
      <x:c r="O55" s="81" t="str">
        <x:v>Applicable PPRA STD</x:v>
      </x:c>
      <x:c r="P55" s="81" t="str">
        <x:v>Contract Management; Records</x:v>
      </x:c>
      <x:c r="Q55" s="81" t="str">
        <x:v>Planned</x:v>
      </x:c>
      <x:c r="R55" s="81" t="str">
        <x:v>Close before contract-management release</x:v>
      </x:c>
      <x:c r="S55" s="81" t="str">
        <x:v>SRC-002; SRC-003; SRC-004</x:v>
      </x:c>
      <x:c r="T55" s="81" t="str">
        <x:v>Procurement-proceeding termination and contract termination are distinct events.</x:v>
      </x:c>
    </x:row>
    <x:row r="56" ht="72" customHeight="1">
      <x:c r="A56" s="86" t="str">
        <x:v>CTL-080</x:v>
      </x:c>
      <x:c r="B56" s="81" t="str">
        <x:v>Preferences &amp; Reporting</x:v>
      </x:c>
      <x:c r="C56" s="81" t="str">
        <x:v>Reserve and report the statutory share for women, youth and persons with disabilities and other applicable target groups.</x:v>
      </x:c>
      <x:c r="D56" s="81" t="str">
        <x:v>Annual plan preparation and reporting cycle.</x:v>
      </x:c>
      <x:c r="E56" s="81" t="str">
        <x:v>Accounting Officer</x:v>
      </x:c>
      <x:c r="F56" s="81" t="str">
        <x:v>Head of Procurement Function; Finance Function</x:v>
      </x:c>
      <x:c r="G56" s="81" t="str">
        <x:v>Annual procurement budget/plan and target-group catalogue</x:v>
      </x:c>
      <x:c r="H56" s="81" t="str">
        <x:v>Allocate, monitor and report reservations in the required formats.</x:v>
      </x:c>
      <x:c r="I56" s="81" t="str">
        <x:v>Reservation plan and periodic report</x:v>
      </x:c>
      <x:c r="J56" s="81" t="str">
        <x:v>Formula-driven allocation/progress; no double counting; report submission receipts.</x:v>
      </x:c>
      <x:c r="K56" s="81" t="str">
        <x:v>Baseline, awarded amounts, group evidence and report receipts</x:v>
      </x:c>
      <x:c r="L56" s="81" t="str">
        <x:v>PPRA; National Treasury</x:v>
      </x:c>
      <x:c r="M56" s="81" t="str">
        <x:v>ss. 155–158</x:v>
      </x:c>
      <x:c r="N56" s="81" t="str">
        <x:v>rr. 149, 160–163</x:v>
      </x:c>
      <x:c r="O56" s="81" t="str">
        <x:v>Eleventh Schedule; PPRA reporting formats</x:v>
      </x:c>
      <x:c r="P56" s="81" t="str">
        <x:v>Planning; Reporting; Supplier Management</x:v>
      </x:c>
      <x:c r="Q56" s="81" t="str">
        <x:v>Partial projection only</x:v>
      </x:c>
      <x:c r="R56" s="81" t="str">
        <x:v>MVP-1 release gate for plan reporting</x:v>
      </x:c>
      <x:c r="S56" s="81" t="str">
        <x:v>SRC-002; SRC-003</x:v>
      </x:c>
      <x:c r="T56" s="81" t="str">
        <x:v>Do not conflate national 30% target-group reservation with county-resident 20% plan allocation.</x:v>
      </x:c>
    </x:row>
    <x:row r="57" ht="72" customHeight="1">
      <x:c r="A57" s="86" t="str">
        <x:v>CTL-081</x:v>
      </x:c>
      <x:c r="B57" s="81" t="str">
        <x:v>Reporting</x:v>
      </x:c>
      <x:c r="C57" s="81" t="str">
        <x:v>Produce mandatory procurement, award, direct-procurement, framework, variation and other statutory reports.</x:v>
      </x:c>
      <x:c r="D57" s="81" t="str">
        <x:v>Reportable event or reporting period ends.</x:v>
      </x:c>
      <x:c r="E57" s="81" t="str">
        <x:v>Accounting Officer</x:v>
      </x:c>
      <x:c r="F57" s="81" t="str">
        <x:v>Head of Procurement Function</x:v>
      </x:c>
      <x:c r="G57" s="81" t="str">
        <x:v>Live records and current PPRA format</x:v>
      </x:c>
      <x:c r="H57" s="81" t="str">
        <x:v>Validate, approve and submit each required report within its deadline.</x:v>
      </x:c>
      <x:c r="I57" s="81" t="str">
        <x:v>Submitted report and receipt</x:v>
      </x:c>
      <x:c r="J57" s="81" t="str">
        <x:v>Central report obligations catalogue keyed by event, PE type and effective law; deadline alerts/escalations.</x:v>
      </x:c>
      <x:c r="K57" s="81" t="str">
        <x:v>Report version, actor, recipient, timestamp and receipt</x:v>
      </x:c>
      <x:c r="L57" s="81" t="str">
        <x:v>PPRA; Treasury; governing body; internal auditor</x:v>
      </x:c>
      <x:c r="M57" s="81" t="str">
        <x:v>Various including ss. 44, 138, 139, 157</x:v>
      </x:c>
      <x:c r="N57" s="81" t="str">
        <x:v>Various including rr. 40(6), 90, 107, 131, 160–162, 180(13)</x:v>
      </x:c>
      <x:c r="O57" s="81" t="str">
        <x:v>PPRA formats</x:v>
      </x:c>
      <x:c r="P57" s="81" t="str">
        <x:v>Reporting; all modules</x:v>
      </x:c>
      <x:c r="Q57" s="81" t="str">
        <x:v>Missing</x:v>
      </x:c>
      <x:c r="R57" s="81" t="str">
        <x:v>Close before corresponding event release</x:v>
      </x:c>
      <x:c r="S57" s="81" t="str">
        <x:v>SRC-002; SRC-003; SRC-004</x:v>
      </x:c>
      <x:c r="T57" s="81" t="str">
        <x:v>This matrix identifies categories; a dedicated reporting obligations register is still required.</x:v>
      </x:c>
    </x:row>
    <x:row r="58" ht="72" customHeight="1">
      <x:c r="A58" s="86" t="str">
        <x:v>CTL-090</x:v>
      </x:c>
      <x:c r="B58" s="81" t="str">
        <x:v>Asset Disposal Planning</x:v>
      </x:c>
      <x:c r="C58" s="81" t="str">
        <x:v>Identify assets due for disposal and prepare departmental/consolidated disposal plans.</x:v>
      </x:c>
      <x:c r="D58" s="81" t="str">
        <x:v>Annual disposal planning cycle or item becomes unserviceable/surplus/obsolete.</x:v>
      </x:c>
      <x:c r="E58" s="81" t="str">
        <x:v>Accounting Officer</x:v>
      </x:c>
      <x:c r="F58" s="81" t="str">
        <x:v>User Department; Head of Procurement Function</x:v>
      </x:c>
      <x:c r="G58" s="81" t="str">
        <x:v>Asset register, condition/value evidence and departmental disposal plan</x:v>
      </x:c>
      <x:c r="H58" s="81" t="str">
        <x:v>Consolidate and route the annual disposal plan for approval.</x:v>
      </x:c>
      <x:c r="I58" s="81" t="str">
        <x:v>Approved annual asset disposal plan</x:v>
      </x:c>
      <x:c r="J58" s="81" t="str">
        <x:v>Separate procurement and disposal lifecycles; link every item to inventory/asset record; use Thirteenth Schedule fields.</x:v>
      </x:c>
      <x:c r="K58" s="81" t="str">
        <x:v>Plan version, item lineage, approvals and value evidence</x:v>
      </x:c>
      <x:c r="L58" s="81" t="str">
        <x:v>Disposal committee</x:v>
      </x:c>
      <x:c r="M58" s="81" t="str">
        <x:v>ss. 53(4), 163</x:v>
      </x:c>
      <x:c r="N58" s="81" t="str">
        <x:v>rr. 176, 180</x:v>
      </x:c>
      <x:c r="O58" s="81" t="str">
        <x:v>Twelfth and Thirteenth Schedules</x:v>
      </x:c>
      <x:c r="P58" s="81" t="str">
        <x:v>Asset Disposal; Asset Register</x:v>
      </x:c>
      <x:c r="Q58" s="81" t="str">
        <x:v>Not in MVP</x:v>
      </x:c>
      <x:c r="R58" s="81" t="str">
        <x:v>Defer until disposal module; block unsupported use</x:v>
      </x:c>
      <x:c r="S58" s="81" t="str">
        <x:v>SRC-002; SRC-003</x:v>
      </x:c>
      <x:c r="T58" s="81" t="str">
        <x:v>Deferral is permissible only if KenTender does not claim/support disposal.</x:v>
      </x:c>
    </x:row>
    <x:row r="59" ht="72" customHeight="1">
      <x:c r="A59" s="86" t="str">
        <x:v>CTL-091</x:v>
      </x:c>
      <x:c r="B59" s="81" t="str">
        <x:v>Asset Disposal</x:v>
      </x:c>
      <x:c r="C59" s="81" t="str">
        <x:v>Appoint disposal committee and conduct board of survey/valuation.</x:v>
      </x:c>
      <x:c r="D59" s="81" t="str">
        <x:v>Approved disposal plan contains processable items.</x:v>
      </x:c>
      <x:c r="E59" s="81" t="str">
        <x:v>Accounting Officer</x:v>
      </x:c>
      <x:c r="F59" s="81" t="str">
        <x:v>Disposal Committee; technical expert; Head of Procurement Function as secretary</x:v>
      </x:c>
      <x:c r="G59" s="81" t="str">
        <x:v>Approved plan, asset records, condition and valuation evidence</x:v>
      </x:c>
      <x:c r="H59" s="81" t="str">
        <x:v>Verify items, condition, location, value, reserve price and method; recommend to AO.</x:v>
      </x:c>
      <x:c r="I59" s="81" t="str">
        <x:v>Disposal committee report</x:v>
      </x:c>
      <x:c r="J59" s="81" t="str">
        <x:v>Appointment/quorum validation; item-by-item decision and signed report.</x:v>
      </x:c>
      <x:c r="K59" s="81" t="str">
        <x:v>Appointments, survey, valuations, minutes and recommendation</x:v>
      </x:c>
      <x:c r="L59" s="81" t="str">
        <x:v>AO disposal decision</x:v>
      </x:c>
      <x:c r="M59" s="81" t="str">
        <x:v>s. 163</x:v>
      </x:c>
      <x:c r="N59" s="81" t="str">
        <x:v>rr. 177–180</x:v>
      </x:c>
      <x:c r="O59" s="81" t="str">
        <x:v>Eighth Schedule items 30–32</x:v>
      </x:c>
      <x:c r="P59" s="81" t="str">
        <x:v>Asset Disposal</x:v>
      </x:c>
      <x:c r="Q59" s="81" t="str">
        <x:v>Not in MVP</x:v>
      </x:c>
      <x:c r="R59" s="81" t="str">
        <x:v>Defer until disposal module</x:v>
      </x:c>
      <x:c r="S59" s="81" t="str">
        <x:v>SRC-002; SRC-003</x:v>
      </x:c>
      <x:c r="T59" s="81" t="str">
        <x:v>Disposal committee recommends; Accounting Officer decides.</x:v>
      </x:c>
    </x:row>
    <x:row r="60" ht="72" customHeight="1">
      <x:c r="A60" s="86" t="str">
        <x:v>CTL-092</x:v>
      </x:c>
      <x:c r="B60" s="81" t="str">
        <x:v>Asset Disposal</x:v>
      </x:c>
      <x:c r="C60" s="81" t="str">
        <x:v>Approve/reject disposal recommendation and execute the lawful method.</x:v>
      </x:c>
      <x:c r="D60" s="81" t="str">
        <x:v>Disposal committee report submitted.</x:v>
      </x:c>
      <x:c r="E60" s="81" t="str">
        <x:v>Accounting Officer</x:v>
      </x:c>
      <x:c r="F60" s="81" t="str">
        <x:v>Head of Procurement Function; Disposal Committee</x:v>
      </x:c>
      <x:c r="G60" s="81" t="str">
        <x:v>Committee recommendation and approvals for land/buildings where applicable</x:v>
      </x:c>
      <x:c r="H60" s="81" t="str">
        <x:v>Approve/reject within required time; execute the approved disposal method.</x:v>
      </x:c>
      <x:c r="I60" s="81" t="str">
        <x:v>Disposal decision, sale/destruction record and certificate</x:v>
      </x:c>
      <x:c r="J60" s="81" t="str">
        <x:v>Method-specific gates, reserve price, bidder/public records and asset-register update.</x:v>
      </x:c>
      <x:c r="K60" s="81" t="str">
        <x:v>Decision, proceeds, buyer/destroyer, certificate and inventory update</x:v>
      </x:c>
      <x:c r="L60" s="81" t="str">
        <x:v>Finance; asset register; reporting</x:v>
      </x:c>
      <x:c r="M60" s="81" t="str">
        <x:v>ss. 164–166</x:v>
      </x:c>
      <x:c r="N60" s="81" t="str">
        <x:v>rr. 180–202</x:v>
      </x:c>
      <x:c r="O60" s="81" t="str">
        <x:v>Eighth Schedule disposal document/certificates; Thirteenth Schedule</x:v>
      </x:c>
      <x:c r="P60" s="81" t="str">
        <x:v>Asset Disposal</x:v>
      </x:c>
      <x:c r="Q60" s="81" t="str">
        <x:v>Not in MVP</x:v>
      </x:c>
      <x:c r="R60" s="81" t="str">
        <x:v>Defer until disposal module</x:v>
      </x:c>
      <x:c r="S60" s="81" t="str">
        <x:v>SRC-002; SRC-003; SRC-004</x:v>
      </x:c>
      <x:c r="T60" s="81" t="str">
        <x:v>Building/land disposal requires Treasury/county treasury approval.</x:v>
      </x:c>
    </x:row>
    <x:row r="61" ht="72" customHeight="1">
      <x:c r="A61" s="86" t="str">
        <x:v>CTL-100</x:v>
      </x:c>
      <x:c r="B61" s="81" t="str">
        <x:v>Administrative Review</x:v>
      </x:c>
      <x:c r="C61" s="81" t="str">
        <x:v>Receive and register a request for review using the prescribed form/fee and observe the statutory stay.</x:v>
      </x:c>
      <x:c r="D61" s="81" t="str">
        <x:v>Candidate/tenderer files a request for review.</x:v>
      </x:c>
      <x:c r="E61" s="81" t="str">
        <x:v>Public Procurement Administrative Review Board</x:v>
      </x:c>
      <x:c r="F61" s="81" t="str">
        <x:v>Applicant; Procuring Entity; Accounting Officer</x:v>
      </x:c>
      <x:c r="G61" s="81" t="str">
        <x:v>Form for Review, fee and proceeding record</x:v>
      </x:c>
      <x:c r="H61" s="81" t="str">
        <x:v>Register matter, notify parties and suspend affected procurement actions as required.</x:v>
      </x:c>
      <x:c r="I61" s="81" t="str">
        <x:v>Review case and stay status</x:v>
      </x:c>
      <x:c r="J61" s="81" t="str">
        <x:v>Immediate case-linked hold on prohibited workflow commands; preserve unaffected read access.</x:v>
      </x:c>
      <x:c r="K61" s="81" t="str">
        <x:v>Filing, fee, notices, stay activation and attempted-command log</x:v>
      </x:c>
      <x:c r="L61" s="81" t="str">
        <x:v>Review hearing and decision</x:v>
      </x:c>
      <x:c r="M61" s="81" t="str">
        <x:v>ss. 167–175</x:v>
      </x:c>
      <x:c r="N61" s="81" t="str">
        <x:v>rr. 203–222</x:v>
      </x:c>
      <x:c r="O61" s="81" t="str">
        <x:v>Fourteenth–Sixteenth Schedules</x:v>
      </x:c>
      <x:c r="P61" s="81" t="str">
        <x:v>Administrative Review; Shared Workflow</x:v>
      </x:c>
      <x:c r="Q61" s="81" t="str">
        <x:v>Not in current MVP</x:v>
      </x:c>
      <x:c r="R61" s="81" t="str">
        <x:v>Defer until review module; no false support</x:v>
      </x:c>
      <x:c r="S61" s="81" t="str">
        <x:v>SRC-002; SRC-003</x:v>
      </x:c>
      <x:c r="T61" s="81" t="str">
        <x:v>If review is out of scope, later modules must still have a legally reviewed manual hold mechanism before production.</x:v>
      </x:c>
    </x:row>
    <x:row r="62" ht="72" customHeight="1">
      <x:c r="A62" s="86" t="str">
        <x:v>CTL-101</x:v>
      </x:c>
      <x:c r="B62" s="81" t="str">
        <x:v>Administrative Review</x:v>
      </x:c>
      <x:c r="C62" s="81" t="str">
        <x:v>Produce and transmit the complete procurement record for review.</x:v>
      </x:c>
      <x:c r="D62" s="81" t="str">
        <x:v>Review Board requests/receives matter.</x:v>
      </x:c>
      <x:c r="E62" s="81" t="str">
        <x:v>Accounting Officer</x:v>
      </x:c>
      <x:c r="F62" s="81" t="str">
        <x:v>Head of Procurement Function; Records Officer</x:v>
      </x:c>
      <x:c r="G62" s="81" t="str">
        <x:v>Complete procurement file and Seventh Schedule summary</x:v>
      </x:c>
      <x:c r="H62" s="81" t="str">
        <x:v>Seal and transmit the required record without alteration.</x:v>
      </x:c>
      <x:c r="I62" s="81" t="str">
        <x:v>Review record package and receipt</x:v>
      </x:c>
      <x:c r="J62" s="81" t="str">
        <x:v>One-click proceeding export with access controls, checksum and chain of custody.</x:v>
      </x:c>
      <x:c r="K62" s="81" t="str">
        <x:v>Export manifest, hashes, actor, recipient and time</x:v>
      </x:c>
      <x:c r="L62" s="81" t="str">
        <x:v>Review Board</x:v>
      </x:c>
      <x:c r="M62" s="81" t="str">
        <x:v>ss. 68, 168</x:v>
      </x:c>
      <x:c r="N62" s="81" t="str">
        <x:v>rr. 66, 203–222</x:v>
      </x:c>
      <x:c r="O62" s="81" t="str">
        <x:v>Seventh and Fourteenth–Sixteenth Schedules</x:v>
      </x:c>
      <x:c r="P62" s="81" t="str">
        <x:v>Records; Administrative Review</x:v>
      </x:c>
      <x:c r="Q62" s="81" t="str">
        <x:v>Missing</x:v>
      </x:c>
      <x:c r="R62" s="81" t="str">
        <x:v>Close before production award/review exposure</x:v>
      </x:c>
      <x:c r="S62" s="81" t="str">
        <x:v>SRC-002; SRC-003</x:v>
      </x:c>
      <x:c r="T62" s="81" t="str">
        <x:v>Record completeness is not safely deferrable even if a review UI is deferred.</x:v>
      </x:c>
    </x:row>
    <x:row r="63" ht="72" customHeight="1">
      <x:c r="A63" s="86" t="str">
        <x:v>CTL-102</x:v>
      </x:c>
      <x:c r="B63" s="81" t="str">
        <x:v>Administrative Review</x:v>
      </x:c>
      <x:c r="C63" s="81" t="str">
        <x:v>Implement Review Board/court outcomes and preserve the decision trail.</x:v>
      </x:c>
      <x:c r="D63" s="81" t="str">
        <x:v>Binding review/court decision issued.</x:v>
      </x:c>
      <x:c r="E63" s="81" t="str">
        <x:v>Accounting Officer</x:v>
      </x:c>
      <x:c r="F63" s="81" t="str">
        <x:v>Head of Procurement Function; System Administrator</x:v>
      </x:c>
      <x:c r="G63" s="81" t="str">
        <x:v>Authenticated decision and affected proceeding</x:v>
      </x:c>
      <x:c r="H63" s="81" t="str">
        <x:v>Apply ordered corrective action without rewriting historical records.</x:v>
      </x:c>
      <x:c r="I63" s="81" t="str">
        <x:v>Outcome implementation record</x:v>
      </x:c>
      <x:c r="J63" s="81" t="str">
        <x:v>Authorized remedial transition referencing the decision; no direct database edits.</x:v>
      </x:c>
      <x:c r="K63" s="81" t="str">
        <x:v>Decision, implementation actor, affected states and notices</x:v>
      </x:c>
      <x:c r="L63" s="81" t="str">
        <x:v>Resumed/restarted/terminated proceeding</x:v>
      </x:c>
      <x:c r="M63" s="81" t="str">
        <x:v>ss. 173–175</x:v>
      </x:c>
      <x:c r="N63" s="81" t="str">
        <x:v>rr. 203–222</x:v>
      </x:c>
      <x:c r="O63" s="81" t="str">
        <x:v>Sixteenth Schedule</x:v>
      </x:c>
      <x:c r="P63" s="81" t="str">
        <x:v>Administrative Review; all affected modules</x:v>
      </x:c>
      <x:c r="Q63" s="81" t="str">
        <x:v>Missing</x:v>
      </x:c>
      <x:c r="R63" s="81" t="str">
        <x:v>Close before review module/production process</x:v>
      </x:c>
      <x:c r="S63" s="81" t="str">
        <x:v>SRC-002; SRC-003</x:v>
      </x:c>
      <x:c r="T63" s="81" t="str">
        <x:v>Technical administrator executes no business decision; only governed command by authorized actor.</x:v>
      </x:c>
    </x:row>
    <x:row r="64" ht="72" customHeight="1">
      <x:c r="A64" s="86" t="str">
        <x:v>CTL-110</x:v>
      </x:c>
      <x:c r="B64" s="81" t="str">
        <x:v>Cross-module Assurance</x:v>
      </x:c>
      <x:c r="C64" s="81" t="str">
        <x:v>Reconcile every screen, workflow and seed scenario to a control ID before implementation.</x:v>
      </x:c>
      <x:c r="D64" s="81" t="str">
        <x:v>New or revised module/change unit is designed.</x:v>
      </x:c>
      <x:c r="E64" s="81" t="str">
        <x:v>Product Owner / Legal Compliance Owner</x:v>
      </x:c>
      <x:c r="F64" s="81" t="str">
        <x:v>Module owner; designer; engineer; tester</x:v>
      </x:c>
      <x:c r="G64" s="81" t="str">
        <x:v>This matrix and current official sources</x:v>
      </x:c>
      <x:c r="H64" s="81" t="str">
        <x:v>Trace requirements, static screens, implementation controls, seed data and tests to applicable controls.</x:v>
      </x:c>
      <x:c r="I64" s="81" t="str">
        <x:v>Integrated revision-ledger change unit</x:v>
      </x:c>
      <x:c r="J64" s="81" t="str">
        <x:v>No screen prompt may invent behaviour; no implementation behaviour may lack requirement/control and test evidence.</x:v>
      </x:c>
      <x:c r="K64" s="81" t="str">
        <x:v>Traceability IDs, review approvals and acceptance evidence</x:v>
      </x:c>
      <x:c r="L64" s="81" t="str">
        <x:v>Release governance</x:v>
      </x:c>
      <x:c r="M64" s="81" t="str">
        <x:v>Derived from ss. 44–45, 68</x:v>
      </x:c>
      <x:c r="N64" s="81" t="str">
        <x:v>Derived from rr. 4, 66, 68</x:v>
      </x:c>
      <x:c r="O64" s="81" t="str">
        <x:v>KenTender documentation standard</x:v>
      </x:c>
      <x:c r="P64" s="81" t="str">
        <x:v>All modules</x:v>
      </x:c>
      <x:c r="Q64" s="81" t="str">
        <x:v>New standard approved</x:v>
      </x:c>
      <x:c r="R64" s="81" t="str">
        <x:v>MVP-1 release gate</x:v>
      </x:c>
      <x:c r="S64" s="81" t="str">
        <x:v>SRC-007; SRC-008; SRC-009; SRC-010</x:v>
      </x:c>
      <x:c r="T64" s="81" t="str">
        <x:v>Legacy separate Requirements/Stitch/Cursor/Data packs are historical evidence only.</x:v>
      </x:c>
    </x:row>
    <x:row r="65" ht="72" customHeight="1">
      <x:c r="A65" s="86" t="str">
        <x:v>CTL-111</x:v>
      </x:c>
      <x:c r="B65" s="81" t="str">
        <x:v>Cross-module Assurance</x:v>
      </x:c>
      <x:c r="C65" s="81" t="str">
        <x:v>Use deterministic statutory scenarios rather than misleading happy-path demo data.</x:v>
      </x:c>
      <x:c r="D65" s="81" t="str">
        <x:v>Seed/test pack is created or revised.</x:v>
      </x:c>
      <x:c r="E65" s="81" t="str">
        <x:v>Product Owner / Module Owner</x:v>
      </x:c>
      <x:c r="F65" s="81" t="str">
        <x:v>Legal reviewer; engineer; tester</x:v>
      </x:c>
      <x:c r="G65" s="81" t="str">
        <x:v>Approved control scenarios and actor assignments</x:v>
      </x:c>
      <x:c r="H65" s="81" t="str">
        <x:v>Seed normal, return, rejection, insufficient funds, conflict, missing routing and authorization-denial cases.</x:v>
      </x:c>
      <x:c r="I65" s="81" t="str">
        <x:v>Traceable seed and acceptance suite</x:v>
      </x:c>
      <x:c r="J65" s="81" t="str">
        <x:v>Each seed record declares its control IDs, source versions, actor authority and expected outcome.</x:v>
      </x:c>
      <x:c r="K65" s="81" t="str">
        <x:v>Seed manifest, expected states and test results</x:v>
      </x:c>
      <x:c r="L65" s="81" t="str">
        <x:v>Role-based testing and release</x:v>
      </x:c>
      <x:c r="M65" s="81" t="str">
        <x:v>Derived from ss. 44–45, 68</x:v>
      </x:c>
      <x:c r="N65" s="81" t="str">
        <x:v>Derived from rr. 4, 66</x:v>
      </x:c>
      <x:c r="O65" s="81" t="str">
        <x:v>KenTender documentation standard</x:v>
      </x:c>
      <x:c r="P65" s="81" t="str">
        <x:v>Seed data; all modules</x:v>
      </x:c>
      <x:c r="Q65" s="81" t="str">
        <x:v>Current data contains misleading legacy assumptions</x:v>
      </x:c>
      <x:c r="R65" s="81" t="str">
        <x:v>MVP-1 release gate</x:v>
      </x:c>
      <x:c r="S65" s="81" t="str">
        <x:v>SRC-007; SRC-008; SRC-010</x:v>
      </x:c>
      <x:c r="T65" s="81" t="str">
        <x:v>Seed data is not legal authority.</x:v>
      </x:c>
    </x:row>
    <x:row r="66" ht="72" customHeight="1">
      <x:c r="A66" s="87" t="str">
        <x:v>CTL-112</x:v>
      </x:c>
      <x:c r="B66" s="82" t="str">
        <x:v>Cross-module Assurance</x:v>
      </x:c>
      <x:c r="C66" s="82" t="str">
        <x:v>Run a statutory change-impact review before each release.</x:v>
      </x:c>
      <x:c r="D66" s="82" t="str">
        <x:v>Release candidate or source-catalogue update.</x:v>
      </x:c>
      <x:c r="E66" s="82" t="str">
        <x:v>Accounting Officer's designated compliance owner</x:v>
      </x:c>
      <x:c r="F66" s="82" t="str">
        <x:v>Head of Procurement Function; Product Owner; Legal Counsel</x:v>
      </x:c>
      <x:c r="G66" s="82" t="str">
        <x:v>Source register, change log, control matrix and release scope</x:v>
      </x:c>
      <x:c r="H66" s="82" t="str">
        <x:v>Confirm source currency, affected controls, unresolved gaps and release disposition.</x:v>
      </x:c>
      <x:c r="I66" s="82" t="str">
        <x:v>Signed compliance release record</x:v>
      </x:c>
      <x:c r="J66" s="82" t="str">
        <x:v>Block only the affected supported capability; do not imply unsupported modules are compliant.</x:v>
      </x:c>
      <x:c r="K66" s="82" t="str">
        <x:v>Review date, sources checked, decisions, exceptions and sign-off</x:v>
      </x:c>
      <x:c r="L66" s="82" t="str">
        <x:v>Production release</x:v>
      </x:c>
      <x:c r="M66" s="82" t="str">
        <x:v>ss. 44–45</x:v>
      </x:c>
      <x:c r="N66" s="82" t="str">
        <x:v>rr. 4, 23</x:v>
      </x:c>
      <x:c r="O66" s="82" t="str">
        <x:v>All official instruments</x:v>
      </x:c>
      <x:c r="P66" s="82" t="str">
        <x:v>Release Governance</x:v>
      </x:c>
      <x:c r="Q66" s="82" t="str">
        <x:v>Missing</x:v>
      </x:c>
      <x:c r="R66" s="82" t="str">
        <x:v>MVP-1 release gate</x:v>
      </x:c>
      <x:c r="S66" s="82" t="str">
        <x:v>SRC-002; SRC-003; SRC-004; SRC-011; SRC-012</x:v>
      </x:c>
      <x:c r="T66" s="82" t="str">
        <x:v>Legal counsel should validate the final matrix and every material amendment.</x:v>
      </x:c>
    </x:row>
  </x:sheetData>
  <x:mergeCells>
    <x:mergeCell ref="A1:T1"/>
    <x:mergeCell ref="A2:T2"/>
  </x:mergeCells>
  <x:conditionalFormatting sqref="R5:R66">
    <x:cfRule type="containsText" dxfId="5" priority="1" operator="containsText" text="release gate"/>
    <x:cfRule type="containsText" dxfId="6" priority="2" operator="containsText" text="MVP-2"/>
  </x:conditionalFormatting>
  <x:conditionalFormatting sqref="Q5:Q66">
    <x:cfRule type="containsText" dxfId="7" priority="3" operator="containsText" text="Missing"/>
  </x:conditionalFormatting>
  <x:pageMargins left="0.7" right="0.7" top="0.75" bottom="0.75" header="0.3" footer="0.3"/>
  <x:tableParts count="1">
    <x:tablePart xmlns:r="http://schemas.openxmlformats.org/officeDocument/2006/relationships" r:id="Rf887081a665f462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24" hidden="0" customWidth="1"/>
    <x:col min="4" max="4" width="48" hidden="0" customWidth="1"/>
    <x:col min="5" max="5" width="30" hidden="0" customWidth="1"/>
    <x:col min="6" max="6" width="38" hidden="0" customWidth="1"/>
    <x:col min="7" max="7" width="32" hidden="0" customWidth="1"/>
    <x:col min="8" max="8" width="30" hidden="0" customWidth="1"/>
    <x:col min="9" max="9" width="44" hidden="0" customWidth="1"/>
    <x:col min="10" max="10" width="44" hidden="0" customWidth="1"/>
    <x:col min="11" max="11" width="26" hidden="0" customWidth="1"/>
  </x:cols>
  <x:sheetData>
    <x:row r="1" ht="32" customHeight="1">
      <x:c r="A1" s="66" t="str">
        <x:v>Roles &amp; Authority</x:v>
      </x:c>
      <x:c r="B1" s="66"/>
      <x:c r="C1" s="66"/>
      <x:c r="D1" s="66"/>
      <x:c r="E1" s="66"/>
      <x:c r="F1" s="66"/>
      <x:c r="G1" s="66"/>
      <x:c r="H1" s="66"/>
      <x:c r="I1" s="66"/>
      <x:c r="J1" s="66"/>
      <x:c r="K1" s="66"/>
    </x:row>
    <x:row r="2" ht="30" customHeight="1">
      <x:c r="A2" s="69" t="str">
        <x:v>Statutory roles and product roles are deliberately separated. A role label does not itself confer PE scope, delegation, task assignment or authority over a record.</x:v>
      </x:c>
      <x:c r="B2" s="69"/>
      <x:c r="C2" s="69"/>
      <x:c r="D2" s="69"/>
      <x:c r="E2" s="69"/>
      <x:c r="F2" s="69"/>
      <x:c r="G2" s="69"/>
      <x:c r="H2" s="69"/>
      <x:c r="I2" s="69"/>
      <x:c r="J2" s="69"/>
      <x:c r="K2" s="69"/>
    </x:row>
    <x:row r="4" ht="34" customHeight="1">
      <x:c r="A4" s="72" t="str">
        <x:v>Role ID</x:v>
      </x:c>
      <x:c r="B4" s="72" t="str">
        <x:v>Role / Actor</x:v>
      </x:c>
      <x:c r="C4" s="72" t="str">
        <x:v>Classification</x:v>
      </x:c>
      <x:c r="D4" s="72" t="str">
        <x:v>Statutory / Operational Responsibility</x:v>
      </x:c>
      <x:c r="E4" s="72" t="str">
        <x:v>Primary Source</x:v>
      </x:c>
      <x:c r="F4" s="72" t="str">
        <x:v>Decisions / Actions</x:v>
      </x:c>
      <x:c r="G4" s="72" t="str">
        <x:v>Inputs</x:v>
      </x:c>
      <x:c r="H4" s="72" t="str">
        <x:v>Outputs / Records</x:v>
      </x:c>
      <x:c r="I4" s="72" t="str">
        <x:v>KenTender Permission Model</x:v>
      </x:c>
      <x:c r="J4" s="72" t="str">
        <x:v>Prohibited Assumption</x:v>
      </x:c>
      <x:c r="K4" s="72" t="str">
        <x:v>Release Disposition</x:v>
      </x:c>
    </x:row>
    <x:row r="5" ht="72" customHeight="1">
      <x:c r="A5" s="85" t="str">
        <x:v>ROLE-001</x:v>
      </x:c>
      <x:c r="B5" s="80" t="str">
        <x:v>Accounting Officer</x:v>
      </x:c>
      <x:c r="C5" s="80" t="str">
        <x:v>Statutory accountable authority</x:v>
      </x:c>
      <x:c r="D5" s="80" t="str">
        <x:v>Primary responsibility for compliance; approved budgets/plans; records; committee appointment; award/contract decisions; contract/disposal oversight.</x:v>
      </x:c>
      <x:c r="E5" s="80" t="str">
        <x:v>PPADA ss.44–45; Regulations r.23; Second Schedule</x:v>
      </x:c>
      <x:c r="F5" s="80" t="str">
        <x:v>Annual plan preparation/consolidation; method/award/contract/disposal approvals as prescribed; delegations in writing where permitted.</x:v>
      </x:c>
      <x:c r="G5" s="80" t="str">
        <x:v>Approved plan/requisition/proceeding/contract evidence</x:v>
      </x:c>
      <x:c r="H5" s="80" t="str">
        <x:v>Decisions, appointments, reports and audit record</x:v>
      </x:c>
      <x:c r="I5" s="80" t="str">
        <x:v>AO-qualified command capability for scoped PE; may delegate only where law permits; all delegations effective-dated.</x:v>
      </x:c>
      <x:c r="J5" s="80" t="str">
        <x:v>Cannot be replaced by Head of Procurement, Budget Officer, System Administrator or generic workflow role.</x:v>
      </x:c>
      <x:c r="K5" s="80" t="str">
        <x:v>MVP-1: must model explicitly</x:v>
      </x:c>
    </x:row>
    <x:row r="6" ht="72" customHeight="1">
      <x:c r="A6" s="86" t="str">
        <x:v>ROLE-002</x:v>
      </x:c>
      <x:c r="B6" s="81" t="str">
        <x:v>Head of User Department</x:v>
      </x:c>
      <x:c r="C6" s="81" t="str">
        <x:v>Statutory operational initiator</x:v>
      </x:c>
      <x:c r="D6" s="81" t="str">
        <x:v>Owns departmental requirements; prepares departmental plan; initiates procurement via requisition; supplies specifications; manages contract performance.</x:v>
      </x:c>
      <x:c r="E6" s="81" t="str">
        <x:v>Regulations rr.34, 40(3), 71; Second Schedule</x:v>
      </x:c>
      <x:c r="F6" s="81" t="str">
        <x:v>Submit departmental plan; sign/submit procurement requisition; concur on material scope changes; participate in evaluation/acceptance as appointed.</x:v>
      </x:c>
      <x:c r="G6" s="81" t="str">
        <x:v>Departmental needs, technical evidence, approved plan item</x:v>
      </x:c>
      <x:c r="H6" s="81" t="str">
        <x:v>Formal requisition, clarifications via HoPF, performance reports</x:v>
      </x:c>
      <x:c r="I6" s="81" t="str">
        <x:v>User-department scope; formalization/approval commands; no direct bidder contact or award command.</x:v>
      </x:c>
      <x:c r="J6" s="81" t="str">
        <x:v>Ordinary user submission is not automatically HoUD statutory initiation.</x:v>
      </x:c>
      <x:c r="K6" s="81" t="str">
        <x:v>Departmental Needs and Procurement Requisitions: must model explicitly</x:v>
      </x:c>
    </x:row>
    <x:row r="7" ht="72" customHeight="1">
      <x:c r="A7" s="86" t="str">
        <x:v>ROLE-003</x:v>
      </x:c>
      <x:c r="B7" s="81" t="str">
        <x:v>User Department officer / technical expert</x:v>
      </x:c>
      <x:c r="C7" s="81" t="str">
        <x:v>Operational participant</x:v>
      </x:c>
      <x:c r="D7" s="81" t="str">
        <x:v>Identifies needs; prepares technical evidence; supports evaluation, inspection and contract management when appointed.</x:v>
      </x:c>
      <x:c r="E7" s="81" t="str">
        <x:v>Regulations r.34</x:v>
      </x:c>
      <x:c r="F7" s="81" t="str">
        <x:v>Draft need/specifications/BoQ/ToR; perform assigned technical work.</x:v>
      </x:c>
      <x:c r="G7" s="81" t="str">
        <x:v>Business and technical inputs</x:v>
      </x:c>
      <x:c r="H7" s="81" t="str">
        <x:v>Drafts, evidence, assessments</x:v>
      </x:c>
      <x:c r="I7" s="81" t="str">
        <x:v>Limited OU scope and appointed-task access.</x:v>
      </x:c>
      <x:c r="J7" s="81" t="str">
        <x:v>Cannot initiate statutory requisition, evaluate, inspect or decide merely because of job title.</x:v>
      </x:c>
      <x:c r="K7" s="81" t="str">
        <x:v>MVP-1: retain simple need intake</x:v>
      </x:c>
    </x:row>
    <x:row r="8" ht="72" customHeight="1">
      <x:c r="A8" s="86" t="str">
        <x:v>ROLE-004</x:v>
      </x:c>
      <x:c r="B8" s="81" t="str">
        <x:v>Head of Procurement Function</x:v>
      </x:c>
      <x:c r="C8" s="81" t="str">
        <x:v>Statutory professional authority</x:v>
      </x:c>
      <x:c r="D8" s="81" t="str">
        <x:v>Leads procurement function; reviews requisitions; prepares documents/notices; coordinates committees; issues professional opinion; records/reports; monitors contracts.</x:v>
      </x:c>
      <x:c r="E8" s="81" t="str">
        <x:v>PPADA s.47, s.84; Regulations r.33 and r.78</x:v>
      </x:c>
      <x:c r="F8" s="81" t="str">
        <x:v>Accept/return requisition; manage method/document preparation; professional opinion; implement AO decisions; statutory reporting.</x:v>
      </x:c>
      <x:c r="G8" s="81" t="str">
        <x:v>Requisition, evaluation report, procurement file</x:v>
      </x:c>
      <x:c r="H8" s="81" t="str">
        <x:v>Tender package, professional opinion, notices, reports</x:v>
      </x:c>
      <x:c r="I8" s="81" t="str">
        <x:v>Professional tasks and neutral record access across authorized PE; not final award authority.</x:v>
      </x:c>
      <x:c r="J8" s="81" t="str">
        <x:v>Cannot replace Accounting Officer's award/contract/disposal decision or governing-body plan approval.</x:v>
      </x:c>
      <x:c r="K8" s="81" t="str">
        <x:v>MVP-1: title/authority correction required</x:v>
      </x:c>
    </x:row>
    <x:row r="9" ht="72" customHeight="1">
      <x:c r="A9" s="86" t="str">
        <x:v>ROLE-005</x:v>
      </x:c>
      <x:c r="B9" s="81" t="str">
        <x:v>Procurement professional / Procurement Planner</x:v>
      </x:c>
      <x:c r="C9" s="81" t="str">
        <x:v>Operational product role</x:v>
      </x:c>
      <x:c r="D9" s="81" t="str">
        <x:v>Performs professional work under Procurement Function authority, including consolidation, analysis, preparation and workflow administration.</x:v>
      </x:c>
      <x:c r="E9" s="81" t="str">
        <x:v>PPADA s.47; Regulations r.33</x:v>
      </x:c>
      <x:c r="F9" s="81" t="str">
        <x:v>Prepare Plan/tender records and recommendations within assignment.</x:v>
      </x:c>
      <x:c r="G9" s="81" t="str">
        <x:v>Departmental plans, requisitions, catalogue</x:v>
      </x:c>
      <x:c r="H9" s="81" t="str">
        <x:v>Draft plans, configurations and recommendations</x:v>
      </x:c>
      <x:c r="I9" s="81" t="str">
        <x:v>Named assignment and PE/FY scope; commands limited by task/state.</x:v>
      </x:c>
      <x:c r="J9" s="81" t="str">
        <x:v>Product role is not itself a statutory final authority.</x:v>
      </x:c>
      <x:c r="K9" s="81" t="str">
        <x:v>Current Planning ledger; reconcile</x:v>
      </x:c>
    </x:row>
    <x:row r="10" ht="72" customHeight="1">
      <x:c r="A10" s="86" t="str">
        <x:v>ROLE-006</x:v>
      </x:c>
      <x:c r="B10" s="81" t="str">
        <x:v>Finance/Budget Officer</x:v>
      </x:c>
      <x:c r="C10" s="81" t="str">
        <x:v>Operational supporting role</x:v>
      </x:c>
      <x:c r="D10" s="81" t="str">
        <x:v>Performs budget availability/commitment checks under PFM and delegated internal controls.</x:v>
      </x:c>
      <x:c r="E10" s="81" t="str">
        <x:v>PPADA ss.44, 53 plus applicable PFM law/policy; not named as universal PPADA final approver</x:v>
      </x:c>
      <x:c r="F10" s="81" t="str">
        <x:v>Confirm/return funding task only where valid assignment/delegation exists.</x:v>
      </x:c>
      <x:c r="G10" s="81" t="str">
        <x:v>Budget line, requisition/plan amount, existing reservations/commitments</x:v>
      </x:c>
      <x:c r="H10" s="81" t="str">
        <x:v>Funding evidence and operational decision</x:v>
      </x:c>
      <x:c r="I10" s="81" t="str">
        <x:v>Named task/queue assignment; scoped budget evidence; no generic role assignment.</x:v>
      </x:c>
      <x:c r="J10" s="81" t="str">
        <x:v>Does not become final procurement authority; may not combine incompatible financial decisions on same record.</x:v>
      </x:c>
      <x:c r="K10" s="81" t="str">
        <x:v>Shared authorization ledger approved; implement</x:v>
      </x:c>
    </x:row>
    <x:row r="11" ht="72" customHeight="1">
      <x:c r="A11" s="86" t="str">
        <x:v>ROLE-007</x:v>
      </x:c>
      <x:c r="B11" s="81" t="str">
        <x:v>Budget Authority / Head of Finance Function</x:v>
      </x:c>
      <x:c r="C11" s="81" t="str">
        <x:v>Operational or PFM authority (PE-specific)</x:v>
      </x:c>
      <x:c r="D11" s="81" t="str">
        <x:v>Exercises any distinct budget approval/commitment authority created by PFM law or valid PE delegation.</x:v>
      </x:c>
      <x:c r="E11" s="81" t="str">
        <x:v>Applicable PFM law and PE delegation; disposal committee role under r.177</x:v>
      </x:c>
      <x:c r="F11" s="81" t="str">
        <x:v>Perform only configured financial decision; serve on disposal committee where appointed.</x:v>
      </x:c>
      <x:c r="G11" s="81" t="str">
        <x:v>Financial-control evidence</x:v>
      </x:c>
      <x:c r="H11" s="81" t="str">
        <x:v>Budget decision / committee contribution</x:v>
      </x:c>
      <x:c r="I11" s="81" t="str">
        <x:v>Separate capability from Budget Officer confirmation.</x:v>
      </x:c>
      <x:c r="J11" s="81" t="str">
        <x:v>Do not invent a universal statutory procurement approval stage.</x:v>
      </x:c>
      <x:c r="K11" s="81" t="str">
        <x:v>Requires PFM/legal mapping per PE</x:v>
      </x:c>
    </x:row>
    <x:row r="12" ht="72" customHeight="1">
      <x:c r="A12" s="86" t="str">
        <x:v>ROLE-008</x:v>
      </x:c>
      <x:c r="B12" s="81" t="str">
        <x:v>Evaluation Committee</x:v>
      </x:c>
      <x:c r="C12" s="81" t="str">
        <x:v>Statutory ad hoc committee</x:v>
      </x:c>
      <x:c r="D12" s="81" t="str">
        <x:v>Evaluates bids/proposals against issued criteria and recommends award.</x:v>
      </x:c>
      <x:c r="E12" s="81" t="str">
        <x:v>PPADA s.46, s.80; Regulations rr.28–32</x:v>
      </x:c>
      <x:c r="F12" s="81" t="str">
        <x:v>Conduct and sign evaluation; clarifications within limits.</x:v>
      </x:c>
      <x:c r="G12" s="81" t="str">
        <x:v>Opened tenders and locked criteria</x:v>
      </x:c>
      <x:c r="H12" s="81" t="str">
        <x:v>Evaluation report and recommendation</x:v>
      </x:c>
      <x:c r="I12" s="81" t="str">
        <x:v>Appointment/stage-limited sealed workspace; quorum/conflict controls.</x:v>
      </x:c>
      <x:c r="J12" s="81" t="str">
        <x:v>Cannot award, change criteria or receive early access.</x:v>
      </x:c>
      <x:c r="K12" s="81" t="str">
        <x:v>Close before evaluation release</x:v>
      </x:c>
    </x:row>
    <x:row r="13" ht="72" customHeight="1">
      <x:c r="A13" s="86" t="str">
        <x:v>ROLE-009</x:v>
      </x:c>
      <x:c r="B13" s="81" t="str">
        <x:v>Tender Opening Committee</x:v>
      </x:c>
      <x:c r="C13" s="81" t="str">
        <x:v>Statutory ad hoc committee</x:v>
      </x:c>
      <x:c r="D13" s="81" t="str">
        <x:v>Opens tenders and records prescribed opening particulars.</x:v>
      </x:c>
      <x:c r="E13" s="81" t="str">
        <x:v>PPADA s.78; Regulations rr.25, 73</x:v>
      </x:c>
      <x:c r="F13" s="81" t="str">
        <x:v>Open and sign register/minutes.</x:v>
      </x:c>
      <x:c r="G13" s="81" t="str">
        <x:v>Sealed tenders and appointment</x:v>
      </x:c>
      <x:c r="H13" s="81" t="str">
        <x:v>Tender Opening Register</x:v>
      </x:c>
      <x:c r="I13" s="81" t="str">
        <x:v>Time/quorum-limited access.</x:v>
      </x:c>
      <x:c r="J13" s="81" t="str">
        <x:v>Cannot evaluate or award.</x:v>
      </x:c>
      <x:c r="K13" s="81" t="str">
        <x:v>Close before opening release</x:v>
      </x:c>
    </x:row>
    <x:row r="14" ht="72" customHeight="1">
      <x:c r="A14" s="86" t="str">
        <x:v>ROLE-010</x:v>
      </x:c>
      <x:c r="B14" s="81" t="str">
        <x:v>Inspection and Acceptance Committee / appointed verifier</x:v>
      </x:c>
      <x:c r="C14" s="81" t="str">
        <x:v>Statutory/appointed verification actor</x:v>
      </x:c>
      <x:c r="D14" s="81" t="str">
        <x:v>Inspects delivered goods, works or services and accepts/rejects conformity.</x:v>
      </x:c>
      <x:c r="E14" s="81" t="str">
        <x:v>PPADA s.48, ss.150–151; Regulations r.35; Second Schedule</x:v>
      </x:c>
      <x:c r="F14" s="81" t="str">
        <x:v>Inspect, verify and sign acceptance evidence.</x:v>
      </x:c>
      <x:c r="G14" s="81" t="str">
        <x:v>Contract, specification and delivery</x:v>
      </x:c>
      <x:c r="H14" s="81" t="str">
        <x:v>Inspection/acceptance report</x:v>
      </x:c>
      <x:c r="I14" s="81" t="str">
        <x:v>Appointment/stage-limited structured checks.</x:v>
      </x:c>
      <x:c r="J14" s="81" t="str">
        <x:v>Cannot be silently replaced by requester, planner or system admin.</x:v>
      </x:c>
      <x:c r="K14" s="81" t="str">
        <x:v>Close before receipt/payment release</x:v>
      </x:c>
    </x:row>
    <x:row r="15" ht="72" customHeight="1">
      <x:c r="A15" s="86" t="str">
        <x:v>ROLE-011</x:v>
      </x:c>
      <x:c r="B15" s="81" t="str">
        <x:v>Contract Implementation Team / Contract Manager</x:v>
      </x:c>
      <x:c r="C15" s="81" t="str">
        <x:v>Appointed implementation actor</x:v>
      </x:c>
      <x:c r="D15" s="81" t="str">
        <x:v>Manages delivery, performance, risks, changes and reporting.</x:v>
      </x:c>
      <x:c r="E15" s="81" t="str">
        <x:v>PPADA ss.151–153; Regulations rr.137–141</x:v>
      </x:c>
      <x:c r="F15" s="81" t="str">
        <x:v>Monitor performance; recommend changes/remedies; certify assigned milestones.</x:v>
      </x:c>
      <x:c r="G15" s="81" t="str">
        <x:v>Contract baseline and performance evidence</x:v>
      </x:c>
      <x:c r="H15" s="81" t="str">
        <x:v>Progress/issue/change recommendations</x:v>
      </x:c>
      <x:c r="I15" s="81" t="str">
        <x:v>Contract-scoped tasks and immutable baseline.</x:v>
      </x:c>
      <x:c r="J15" s="81" t="str">
        <x:v>Cannot approve its own variation or alter contract terms.</x:v>
      </x:c>
      <x:c r="K15" s="81" t="str">
        <x:v>Future contract-management ledger</x:v>
      </x:c>
    </x:row>
    <x:row r="16" ht="72" customHeight="1">
      <x:c r="A16" s="86" t="str">
        <x:v>ROLE-012</x:v>
      </x:c>
      <x:c r="B16" s="81" t="str">
        <x:v>Disposal Committee</x:v>
      </x:c>
      <x:c r="C16" s="81" t="str">
        <x:v>Statutory committee</x:v>
      </x:c>
      <x:c r="D16" s="81" t="str">
        <x:v>Surveys, values and recommends disposal of assets.</x:v>
      </x:c>
      <x:c r="E16" s="81" t="str">
        <x:v>PPADA s.163; Regulations rr.177–180</x:v>
      </x:c>
      <x:c r="F16" s="81" t="str">
        <x:v>Board of survey; reserve price/method recommendation.</x:v>
      </x:c>
      <x:c r="G16" s="81" t="str">
        <x:v>Approved disposal plan and asset evidence</x:v>
      </x:c>
      <x:c r="H16" s="81" t="str">
        <x:v>Disposal committee report</x:v>
      </x:c>
      <x:c r="I16" s="81" t="str">
        <x:v>Appointment/quorum/item controls.</x:v>
      </x:c>
      <x:c r="J16" s="81" t="str">
        <x:v>Recommends; Accounting Officer decides.</x:v>
      </x:c>
      <x:c r="K16" s="81" t="str">
        <x:v>Future disposal ledger</x:v>
      </x:c>
    </x:row>
    <x:row r="17" ht="72" customHeight="1">
      <x:c r="A17" s="86" t="str">
        <x:v>ROLE-013</x:v>
      </x:c>
      <x:c r="B17" s="81" t="str">
        <x:v>Cabinet Secretary / responsible County Executive Committee member / Board or similar body</x:v>
      </x:c>
      <x:c r="C17" s="81" t="str">
        <x:v>Statutory plan-approval authority varies by PE type</x:v>
      </x:c>
      <x:c r="D17" s="81" t="str">
        <x:v>Approves consolidated annual procurement plan as applicable.</x:v>
      </x:c>
      <x:c r="E17" s="81" t="str">
        <x:v>PPADA s.53(5); Regulations r.40(4)</x:v>
      </x:c>
      <x:c r="F17" s="81" t="str">
        <x:v>Approve/return annual plan.</x:v>
      </x:c>
      <x:c r="G17" s="81" t="str">
        <x:v>Validated consolidated plan</x:v>
      </x:c>
      <x:c r="H17" s="81" t="str">
        <x:v>Approved plan version</x:v>
      </x:c>
      <x:c r="I17" s="81" t="str">
        <x:v>Authority resolved from PE legal type, not generic role label.</x:v>
      </x:c>
      <x:c r="J17" s="81" t="str">
        <x:v>Does not perform tender evaluation or replace AO award role.</x:v>
      </x:c>
      <x:c r="K17" s="81" t="str">
        <x:v>MVP-1 Planning correction</x:v>
      </x:c>
    </x:row>
    <x:row r="18" ht="72" customHeight="1">
      <x:c r="A18" s="86" t="str">
        <x:v>ROLE-014</x:v>
      </x:c>
      <x:c r="B18" s="81" t="str">
        <x:v>Internal Auditor</x:v>
      </x:c>
      <x:c r="C18" s="81" t="str">
        <x:v>Independent assurance participant</x:v>
      </x:c>
      <x:c r="D18" s="81" t="str">
        <x:v>Receives/accesses records and reports within mandate; not operational approver.</x:v>
      </x:c>
      <x:c r="E18" s="81" t="str">
        <x:v>PPADA accountability framework; Regulations including framework reporting</x:v>
      </x:c>
      <x:c r="F18" s="81" t="str">
        <x:v>Review controls and records; receive prescribed copies.</x:v>
      </x:c>
      <x:c r="G18" s="81" t="str">
        <x:v>Neutral audit projection</x:v>
      </x:c>
      <x:c r="H18" s="81" t="str">
        <x:v>Audit findings</x:v>
      </x:c>
      <x:c r="I18" s="81" t="str">
        <x:v>Read-only audited access; no workflow commands.</x:v>
      </x:c>
      <x:c r="J18" s="81" t="str">
        <x:v>Must not be used as operational approver merely to add a gate.</x:v>
      </x:c>
      <x:c r="K18" s="81" t="str">
        <x:v>Shared authorization extension</x:v>
      </x:c>
    </x:row>
    <x:row r="19" ht="72" customHeight="1">
      <x:c r="A19" s="86" t="str">
        <x:v>ROLE-015</x:v>
      </x:c>
      <x:c r="B19" s="81" t="str">
        <x:v>System Administrator / Support Officer</x:v>
      </x:c>
      <x:c r="C19" s="81" t="str">
        <x:v>Technical support actor</x:v>
      </x:c>
      <x:c r="D19" s="81" t="str">
        <x:v>Configures platform and diagnoses access/integration under audited support controls.</x:v>
      </x:c>
      <x:c r="E19" s="81" t="str">
        <x:v>KenTender policy derived from segregation and record-security duties</x:v>
      </x:c>
      <x:c r="F19" s="81" t="str">
        <x:v>Manage technical configuration; inspect neutral projections where authorized.</x:v>
      </x:c>
      <x:c r="G19" s="81" t="str">
        <x:v>Configuration and diagnostic evidence</x:v>
      </x:c>
      <x:c r="H19" s="81" t="str">
        <x:v>Technical change/audit record</x:v>
      </x:c>
      <x:c r="I19" s="81" t="str">
        <x:v>No operational role inflation; no impersonation; support views exclude sealed/protected data.</x:v>
      </x:c>
      <x:c r="J19" s="81" t="str">
        <x:v>Cannot approve, submit, evaluate, award, inspect or change business records.</x:v>
      </x:c>
      <x:c r="K19" s="81" t="str">
        <x:v>Shared authorization ledger approved</x:v>
      </x:c>
    </x:row>
    <x:row r="20" ht="72" customHeight="1">
      <x:c r="A20" s="86" t="str">
        <x:v>ROLE-016</x:v>
      </x:c>
      <x:c r="B20" s="81" t="str">
        <x:v>PPRA</x:v>
      </x:c>
      <x:c r="C20" s="81" t="str">
        <x:v>Regulator</x:v>
      </x:c>
      <x:c r="D20" s="81" t="str">
        <x:v>Develops standard documents/formats, monitors procurement and receives statutory reports.</x:v>
      </x:c>
      <x:c r="E20" s="81" t="str">
        <x:v>PPADA s.9; Regulations r.7</x:v>
      </x:c>
      <x:c r="F20" s="81" t="str">
        <x:v>Issue instruments; monitor; receive reports/debarment matters.</x:v>
      </x:c>
      <x:c r="G20" s="81" t="str">
        <x:v>Statutory reports and requests</x:v>
      </x:c>
      <x:c r="H20" s="81" t="str">
        <x:v>Regulatory instruments/receipts</x:v>
      </x:c>
      <x:c r="I20" s="81" t="str">
        <x:v>External authoritative catalogue and integration endpoints.</x:v>
      </x:c>
      <x:c r="J20" s="81" t="str">
        <x:v>KenTender cannot substitute local templates for PPRA instruments.</x:v>
      </x:c>
      <x:c r="K20" s="81" t="str">
        <x:v>External integration/catalogue</x:v>
      </x:c>
    </x:row>
    <x:row r="21" ht="72" customHeight="1">
      <x:c r="A21" s="86" t="str">
        <x:v>ROLE-017</x:v>
      </x:c>
      <x:c r="B21" s="81" t="str">
        <x:v>National Treasury / County Treasury</x:v>
      </x:c>
      <x:c r="C21" s="81" t="str">
        <x:v>Policy, system and financial oversight authority</x:v>
      </x:c>
      <x:c r="D21" s="81" t="str">
        <x:v>Maintains national procurement policy/system; receives reports/approves certain disposals; PFM controls.</x:v>
      </x:c>
      <x:c r="E21" s="81" t="str">
        <x:v>PPADA s.7; Regulations rr.6, 49 and applicable PFM law</x:v>
      </x:c>
      <x:c r="F21" s="81" t="str">
        <x:v>Issue policy; manage State Portal interface; exercise statutory approvals.</x:v>
      </x:c>
      <x:c r="G21" s="81" t="str">
        <x:v>Reports, integration and approval requests</x:v>
      </x:c>
      <x:c r="H21" s="81" t="str">
        <x:v>Policy, approvals and receipts</x:v>
      </x:c>
      <x:c r="I21" s="81" t="str">
        <x:v>Versioned external source/integration.</x:v>
      </x:c>
      <x:c r="J21" s="81" t="str">
        <x:v>Not an internal KenTender workflow role unless specifically appointed.</x:v>
      </x:c>
      <x:c r="K21" s="81" t="str">
        <x:v>External integration/catalogue</x:v>
      </x:c>
    </x:row>
    <x:row r="22" ht="72" customHeight="1">
      <x:c r="A22" s="86" t="str">
        <x:v>ROLE-018</x:v>
      </x:c>
      <x:c r="B22" s="81" t="str">
        <x:v>Supplier / Candidate / Tenderer / Contractor</x:v>
      </x:c>
      <x:c r="C22" s="81" t="str">
        <x:v>External participant</x:v>
      </x:c>
      <x:c r="D22" s="81" t="str">
        <x:v>Receives opportunities, submits tenders, receives notifications, signs/performs contracts and may seek review.</x:v>
      </x:c>
      <x:c r="E22" s="81" t="str">
        <x:v>PPADA Parts VII–XIII; Regulations and PPRA STD</x:v>
      </x:c>
      <x:c r="F22" s="81" t="str">
        <x:v>Submit authenticated records; respond to clarifications; perform contract; file review.</x:v>
      </x:c>
      <x:c r="G22" s="81" t="str">
        <x:v>Tender/contract/review documents</x:v>
      </x:c>
      <x:c r="H22" s="81" t="str">
        <x:v>Submission, acceptance, performance evidence</x:v>
      </x:c>
      <x:c r="I22" s="81" t="str">
        <x:v>Tenant isolation, sealed submission and least-privilege external access.</x:v>
      </x:c>
      <x:c r="J22" s="81" t="str">
        <x:v>Cannot see competitors' sealed/protected information.</x:v>
      </x:c>
      <x:c r="K22" s="81" t="str">
        <x:v>Bidder workspace and supplier portal</x:v>
      </x:c>
    </x:row>
    <x:row r="23" ht="72" customHeight="1">
      <x:c r="A23" s="87" t="str">
        <x:v>ROLE-019</x:v>
      </x:c>
      <x:c r="B23" s="82" t="str">
        <x:v>Public Procurement Administrative Review Board</x:v>
      </x:c>
      <x:c r="C23" s="82" t="str">
        <x:v>Independent statutory review body</x:v>
      </x:c>
      <x:c r="D23" s="82" t="str">
        <x:v>Hears and determines procurement review applications.</x:v>
      </x:c>
      <x:c r="E23" s="82" t="str">
        <x:v>PPADA ss.167–175; Regulations rr.203–222</x:v>
      </x:c>
      <x:c r="F23" s="82" t="str">
        <x:v>Register, notify, hear and decide reviews.</x:v>
      </x:c>
      <x:c r="G23" s="82" t="str">
        <x:v>Review form, fee and procurement record</x:v>
      </x:c>
      <x:c r="H23" s="82" t="str">
        <x:v>Review decision/orders</x:v>
      </x:c>
      <x:c r="I23" s="82" t="str">
        <x:v>Separate case domain; authenticated decisions; stay integration.</x:v>
      </x:c>
      <x:c r="J23" s="82" t="str">
        <x:v>Not an internal PE approval step.</x:v>
      </x:c>
      <x:c r="K23" s="82" t="str">
        <x:v>Future review module</x:v>
      </x:c>
    </x:row>
  </x:sheetData>
  <x:mergeCells>
    <x:mergeCell ref="A1:K1"/>
    <x:mergeCell ref="A2:K2"/>
  </x:mergeCells>
  <x:pageMargins left="0.7" right="0.7" top="0.75" bottom="0.75" header="0.3" footer="0.3"/>
  <x:tableParts count="1">
    <x:tablePart xmlns:r="http://schemas.openxmlformats.org/officeDocument/2006/relationships" r:id="R396d5be1e70347e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30" hidden="0" customWidth="1"/>
    <x:col min="3" max="3" width="48" hidden="0" customWidth="1"/>
    <x:col min="4" max="4" width="34" hidden="0" customWidth="1"/>
    <x:col min="5" max="5" width="25" hidden="0" customWidth="1"/>
    <x:col min="6" max="6" width="25" hidden="0" customWidth="1"/>
    <x:col min="7" max="7" width="42" hidden="0" customWidth="1"/>
    <x:col min="8" max="8" width="28" hidden="0" customWidth="1"/>
    <x:col min="9" max="9" width="28" hidden="0" customWidth="1"/>
    <x:col min="10" max="10" width="18" hidden="0" customWidth="1"/>
    <x:col min="11" max="11" width="42" hidden="0" customWidth="1"/>
  </x:cols>
  <x:sheetData>
    <x:row r="1" ht="32" customHeight="1">
      <x:c r="A1" s="66" t="str">
        <x:v>Forms &amp; Schedules</x:v>
      </x:c>
      <x:c r="B1" s="66"/>
      <x:c r="C1" s="66"/>
      <x:c r="D1" s="66"/>
      <x:c r="E1" s="66"/>
      <x:c r="F1" s="66"/>
      <x:c r="G1" s="66"/>
      <x:c r="H1" s="66"/>
      <x:c r="I1" s="66"/>
      <x:c r="J1" s="66"/>
      <x:c r="K1" s="66"/>
    </x:row>
    <x:row r="2" ht="30" customHeight="1">
      <x:c r="A2" s="69" t="str">
        <x:v>Prescribed schedules/forms and the PPRA current standard-document catalogue. ‘Not assessed’ is not permission to invent a local replacement.</x:v>
      </x:c>
      <x:c r="B2" s="69"/>
      <x:c r="C2" s="69"/>
      <x:c r="D2" s="69"/>
      <x:c r="E2" s="69"/>
      <x:c r="F2" s="69"/>
      <x:c r="G2" s="69"/>
      <x:c r="H2" s="69"/>
      <x:c r="I2" s="69"/>
      <x:c r="J2" s="69"/>
      <x:c r="K2" s="69"/>
    </x:row>
    <x:row r="4" ht="34" customHeight="1">
      <x:c r="A4" s="72" t="str">
        <x:v>Instrument ID</x:v>
      </x:c>
      <x:c r="B4" s="72" t="str">
        <x:v>Source / Register</x:v>
      </x:c>
      <x:c r="C4" s="72" t="str">
        <x:v>Title</x:v>
      </x:c>
      <x:c r="D4" s="72" t="str">
        <x:v>Trigger / Lifecycle Use</x:v>
      </x:c>
      <x:c r="E4" s="72" t="str">
        <x:v>Authority / Currency</x:v>
      </x:c>
      <x:c r="F4" s="72" t="str">
        <x:v>Governing Reference</x:v>
      </x:c>
      <x:c r="G4" s="72" t="str">
        <x:v>Required System Representation</x:v>
      </x:c>
      <x:c r="H4" s="72" t="str">
        <x:v>KenTender Module</x:v>
      </x:c>
      <x:c r="I4" s="72" t="str">
        <x:v>Current Coverage</x:v>
      </x:c>
      <x:c r="J4" s="72" t="str">
        <x:v>Source ID(s)</x:v>
      </x:c>
      <x:c r="K4" s="72" t="str">
        <x:v>Control Note</x:v>
      </x:c>
    </x:row>
    <x:row r="5" ht="52" customHeight="1">
      <x:c r="A5" s="85" t="str">
        <x:v>SCH-01</x:v>
      </x:c>
      <x:c r="B5" s="80" t="str">
        <x:v>Regulations — First Schedule</x:v>
      </x:c>
      <x:c r="C5" s="80" t="str">
        <x:v>Form DC1 — Form for filing a request for debarment</x:v>
      </x:c>
      <x:c r="D5" s="80" t="str">
        <x:v>Debarment request</x:v>
      </x:c>
      <x:c r="E5" s="80" t="str">
        <x:v>Prescribed</x:v>
      </x:c>
      <x:c r="F5" s="80" t="str">
        <x:v>r.22(3)</x:v>
      </x:c>
      <x:c r="G5" s="80" t="str">
        <x:v>Structured case form + attachments + receipt</x:v>
      </x:c>
      <x:c r="H5" s="80" t="str">
        <x:v>Supplier Management / Regulatory Cases</x:v>
      </x:c>
      <x:c r="I5" s="80" t="str">
        <x:v>Not assessed</x:v>
      </x:c>
      <x:c r="J5" s="80" t="str">
        <x:v>SRC-003</x:v>
      </x:c>
      <x:c r="K5" s="80" t="str">
        <x:v>Do not confuse with administrative review.</x:v>
      </x:c>
    </x:row>
    <x:row r="6" ht="52" customHeight="1">
      <x:c r="A6" s="86" t="str">
        <x:v>SCH-02</x:v>
      </x:c>
      <x:c r="B6" s="81" t="str">
        <x:v>Regulations — Second Schedule</x:v>
      </x:c>
      <x:c r="C6" s="81" t="str">
        <x:v>Threshold Matrix</x:v>
      </x:c>
      <x:c r="D6" s="81" t="str">
        <x:v>Method selection; segregation; award/signature/receipt authority</x:v>
      </x:c>
      <x:c r="E6" s="81" t="str">
        <x:v>Prescribed and version-sensitive</x:v>
      </x:c>
      <x:c r="F6" s="81" t="str">
        <x:v>rr.26–28, 35, 85, 89–94, 104, 113, 128</x:v>
      </x:c>
      <x:c r="G6" s="81" t="str">
        <x:v>Versioned rules catalogue, not hardcoded UI text</x:v>
      </x:c>
      <x:c r="H6" s="81" t="str">
        <x:v>Shared Compliance; Tender Initiation</x:v>
      </x:c>
      <x:c r="I6" s="81" t="str">
        <x:v>Missing</x:v>
      </x:c>
      <x:c r="J6" s="81" t="str">
        <x:v>SRC-003</x:v>
      </x:c>
      <x:c r="K6" s="81" t="str">
        <x:v>Entity classification and current amendments must be verified at activation.</x:v>
      </x:c>
    </x:row>
    <x:row r="7" ht="52" customHeight="1">
      <x:c r="A7" s="86" t="str">
        <x:v>SCH-03</x:v>
      </x:c>
      <x:c r="B7" s="81" t="str">
        <x:v>Regulations — Third Schedule</x:v>
      </x:c>
      <x:c r="C7" s="81" t="str">
        <x:v>Annual Procurement Plan</x:v>
      </x:c>
      <x:c r="D7" s="81" t="str">
        <x:v>Annual planning and implementation tracking</x:v>
      </x:c>
      <x:c r="E7" s="81" t="str">
        <x:v>Prescribed</x:v>
      </x:c>
      <x:c r="F7" s="81" t="str">
        <x:v>r.42</x:v>
      </x:c>
      <x:c r="G7" s="81" t="str">
        <x:v>Structured plan projection with planned/actual dates and status</x:v>
      </x:c>
      <x:c r="H7" s="81" t="str">
        <x:v>Procurement Planning</x:v>
      </x:c>
      <x:c r="I7" s="81" t="str">
        <x:v>Partial; reconciliation required</x:v>
      </x:c>
      <x:c r="J7" s="81" t="str">
        <x:v>SRC-003</x:v>
      </x:c>
      <x:c r="K7" s="81" t="str">
        <x:v>All columns and notes are mandatory data-contract candidates.</x:v>
      </x:c>
    </x:row>
    <x:row r="8" ht="52" customHeight="1">
      <x:c r="A8" s="86" t="str">
        <x:v>SCH-04</x:v>
      </x:c>
      <x:c r="B8" s="81" t="str">
        <x:v>Regulations — Fourth Schedule</x:v>
      </x:c>
      <x:c r="C8" s="81" t="str">
        <x:v>Tender-Securing Declaration Form</x:v>
      </x:c>
      <x:c r="D8" s="81" t="str">
        <x:v>Tender security alternative where applicable</x:v>
      </x:c>
      <x:c r="E8" s="81" t="str">
        <x:v>Prescribed</x:v>
      </x:c>
      <x:c r="F8" s="81" t="str">
        <x:v>rr.46, 155(2)</x:v>
      </x:c>
      <x:c r="G8" s="81" t="str">
        <x:v>Versioned declaration + signature</x:v>
      </x:c>
      <x:c r="H8" s="81" t="str">
        <x:v>Tender Configuration / Bidder Workspace</x:v>
      </x:c>
      <x:c r="I8" s="81" t="str">
        <x:v>Partial</x:v>
      </x:c>
      <x:c r="J8" s="81" t="str">
        <x:v>SRC-003</x:v>
      </x:c>
      <x:c r="K8" s="81" t="str">
        <x:v>Bind to applicable tender version.</x:v>
      </x:c>
    </x:row>
    <x:row r="9" ht="52" customHeight="1">
      <x:c r="A9" s="86" t="str">
        <x:v>SCH-05A</x:v>
      </x:c>
      <x:c r="B9" s="81" t="str">
        <x:v>Regulations — Fifth Schedule</x:v>
      </x:c>
      <x:c r="C9" s="81" t="str">
        <x:v>Form SD1 — Self-declaration: not debarred</x:v>
      </x:c>
      <x:c r="D9" s="81" t="str">
        <x:v>Tender submission</x:v>
      </x:c>
      <x:c r="E9" s="81" t="str">
        <x:v>Prescribed</x:v>
      </x:c>
      <x:c r="F9" s="81" t="str">
        <x:v>r.47</x:v>
      </x:c>
      <x:c r="G9" s="81" t="str">
        <x:v>Structured declaration + authorized signature</x:v>
      </x:c>
      <x:c r="H9" s="81" t="str">
        <x:v>Bidder Workspace</x:v>
      </x:c>
      <x:c r="I9" s="81" t="str">
        <x:v>Partial</x:v>
      </x:c>
      <x:c r="J9" s="81" t="str">
        <x:v>SRC-003</x:v>
      </x:c>
      <x:c r="K9" s="81" t="str">
        <x:v>Use current PPRA form where updated.</x:v>
      </x:c>
    </x:row>
    <x:row r="10" ht="52" customHeight="1">
      <x:c r="A10" s="86" t="str">
        <x:v>SCH-05B</x:v>
      </x:c>
      <x:c r="B10" s="81" t="str">
        <x:v>Regulations — Fifth Schedule</x:v>
      </x:c>
      <x:c r="C10" s="81" t="str">
        <x:v>Form SD2 — Self-declaration: no corrupt/fraudulent practice</x:v>
      </x:c>
      <x:c r="D10" s="81" t="str">
        <x:v>Tender submission</x:v>
      </x:c>
      <x:c r="E10" s="81" t="str">
        <x:v>Prescribed</x:v>
      </x:c>
      <x:c r="F10" s="81" t="str">
        <x:v>r.47</x:v>
      </x:c>
      <x:c r="G10" s="81" t="str">
        <x:v>Structured declaration + authorized signature</x:v>
      </x:c>
      <x:c r="H10" s="81" t="str">
        <x:v>Bidder Workspace</x:v>
      </x:c>
      <x:c r="I10" s="81" t="str">
        <x:v>Partial</x:v>
      </x:c>
      <x:c r="J10" s="81" t="str">
        <x:v>SRC-003</x:v>
      </x:c>
      <x:c r="K10" s="81" t="str">
        <x:v>Use current PPRA form where updated.</x:v>
      </x:c>
    </x:row>
    <x:row r="11" ht="52" customHeight="1">
      <x:c r="A11" s="86" t="str">
        <x:v>SCH-06</x:v>
      </x:c>
      <x:c r="B11" s="81" t="str">
        <x:v>Regulations — Sixth Schedule</x:v>
      </x:c>
      <x:c r="C11" s="81" t="str">
        <x:v>Confidentiality Declaration Form</x:v>
      </x:c>
      <x:c r="D11" s="81" t="str">
        <x:v>Committee/employee/agent access to procurement information</x:v>
      </x:c>
      <x:c r="E11" s="81" t="str">
        <x:v>Prescribed</x:v>
      </x:c>
      <x:c r="F11" s="81" t="str">
        <x:v>r.65</x:v>
      </x:c>
      <x:c r="G11" s="81" t="str">
        <x:v>Signed declaration linked to appointment and proceeding</x:v>
      </x:c>
      <x:c r="H11" s="81" t="str">
        <x:v>Shared Authorization / Evaluation</x:v>
      </x:c>
      <x:c r="I11" s="81" t="str">
        <x:v>Missing/unverified</x:v>
      </x:c>
      <x:c r="J11" s="81" t="str">
        <x:v>SRC-003</x:v>
      </x:c>
      <x:c r="K11" s="81" t="str">
        <x:v>Access should remain blocked until signed where applicable.</x:v>
      </x:c>
    </x:row>
    <x:row r="12" ht="52" customHeight="1">
      <x:c r="A12" s="86" t="str">
        <x:v>SCH-07</x:v>
      </x:c>
      <x:c r="B12" s="81" t="str">
        <x:v>Regulations — Seventh Schedule</x:v>
      </x:c>
      <x:c r="C12" s="81" t="str">
        <x:v>Summary of Procurement Proceedings</x:v>
      </x:c>
      <x:c r="D12" s="81" t="str">
        <x:v>Procurement file/record; review/audit/reporting</x:v>
      </x:c>
      <x:c r="E12" s="81" t="str">
        <x:v>Prescribed</x:v>
      </x:c>
      <x:c r="F12" s="81" t="str">
        <x:v>r.66(1)</x:v>
      </x:c>
      <x:c r="G12" s="81" t="str">
        <x:v>Auto-generated structured summary with annexed criteria where needed</x:v>
      </x:c>
      <x:c r="H12" s="81" t="str">
        <x:v>Records / Tender Management</x:v>
      </x:c>
      <x:c r="I12" s="81" t="str">
        <x:v>Missing</x:v>
      </x:c>
      <x:c r="J12" s="81" t="str">
        <x:v>SRC-003</x:v>
      </x:c>
      <x:c r="K12" s="81" t="str">
        <x:v>Includes requisition number and stage indicators.</x:v>
      </x:c>
    </x:row>
    <x:row r="13" ht="52" customHeight="1">
      <x:c r="A13" s="86" t="str">
        <x:v>SCH-08</x:v>
      </x:c>
      <x:c r="B13" s="81" t="str">
        <x:v>Regulations — Eighth Schedule</x:v>
      </x:c>
      <x:c r="C13" s="81" t="str">
        <x:v>Standard Tender Documents and Forms catalogue</x:v>
      </x:c>
      <x:c r="D13" s="81" t="str">
        <x:v>Tender preparation and lifecycle records</x:v>
      </x:c>
      <x:c r="E13" s="81" t="str">
        <x:v>Prescribed catalogue</x:v>
      </x:c>
      <x:c r="F13" s="81" t="str">
        <x:v>r.68(1)</x:v>
      </x:c>
      <x:c r="G13" s="81" t="str">
        <x:v>Versioned catalogue crosswalked to current PPRA instruments</x:v>
      </x:c>
      <x:c r="H13" s="81" t="str">
        <x:v>STD Administration</x:v>
      </x:c>
      <x:c r="I13" s="81" t="str">
        <x:v>Partial</x:v>
      </x:c>
      <x:c r="J13" s="81" t="str">
        <x:v>SRC-003; SRC-004; SRC-005</x:v>
      </x:c>
      <x:c r="K13" s="81" t="str">
        <x:v>See E8 detail rows and PPRA current rows below.</x:v>
      </x:c>
    </x:row>
    <x:row r="14" ht="52" customHeight="1">
      <x:c r="A14" s="86" t="str">
        <x:v>SCH-09</x:v>
      </x:c>
      <x:c r="B14" s="81" t="str">
        <x:v>Regulations — Ninth Schedule</x:v>
      </x:c>
      <x:c r="C14" s="81" t="str">
        <x:v>Professional Opinion</x:v>
      </x:c>
      <x:c r="D14" s="81" t="str">
        <x:v>After evaluation report, before AO award decision</x:v>
      </x:c>
      <x:c r="E14" s="81" t="str">
        <x:v>Prescribed</x:v>
      </x:c>
      <x:c r="F14" s="81" t="str">
        <x:v>r.78(4)</x:v>
      </x:c>
      <x:c r="G14" s="81" t="str">
        <x:v>Structured professional-opinion form</x:v>
      </x:c>
      <x:c r="H14" s="81" t="str">
        <x:v>Tender Management / Awards</x:v>
      </x:c>
      <x:c r="I14" s="81" t="str">
        <x:v>Missing/unverified</x:v>
      </x:c>
      <x:c r="J14" s="81" t="str">
        <x:v>SRC-003</x:v>
      </x:c>
      <x:c r="K14" s="81" t="str">
        <x:v>Covers legality, criteria, market price, funding and recommendation.</x:v>
      </x:c>
    </x:row>
    <x:row r="15" ht="52" customHeight="1">
      <x:c r="A15" s="86" t="str">
        <x:v>SCH-10</x:v>
      </x:c>
      <x:c r="B15" s="81" t="str">
        <x:v>Regulations — Tenth Schedule</x:v>
      </x:c>
      <x:c r="C15" s="81" t="str">
        <x:v>List/classification for classified procurement and asset disposal</x:v>
      </x:c>
      <x:c r="D15" s="81" t="str">
        <x:v>Classified procurement</x:v>
      </x:c>
      <x:c r="E15" s="81" t="str">
        <x:v>Prescribed</x:v>
      </x:c>
      <x:c r="F15" s="81" t="str">
        <x:v>Applicable classified-procurement regulations</x:v>
      </x:c>
      <x:c r="G15" s="81" t="str">
        <x:v>Protected catalogue/record with enhanced access controls</x:v>
      </x:c>
      <x:c r="H15" s="81" t="str">
        <x:v>Classified Procurement</x:v>
      </x:c>
      <x:c r="I15" s="81" t="str">
        <x:v>Not assessed</x:v>
      </x:c>
      <x:c r="J15" s="81" t="str">
        <x:v>SRC-003</x:v>
      </x:c>
      <x:c r="K15" s="81" t="str">
        <x:v>Exact contents and national-security handling require separate legal/security review.</x:v>
      </x:c>
    </x:row>
    <x:row r="16" ht="52" customHeight="1">
      <x:c r="A16" s="86" t="str">
        <x:v>SCH-11</x:v>
      </x:c>
      <x:c r="B16" s="81" t="str">
        <x:v>Regulations — Eleventh Schedule</x:v>
      </x:c>
      <x:c r="C16" s="81" t="str">
        <x:v>Registration Certificate for target groups (AGPO)</x:v>
      </x:c>
      <x:c r="D16" s="81" t="str">
        <x:v>Preference/reservation eligibility</x:v>
      </x:c>
      <x:c r="E16" s="81" t="str">
        <x:v>Prescribed</x:v>
      </x:c>
      <x:c r="F16" s="81" t="str">
        <x:v>Applicable preference regulations</x:v>
      </x:c>
      <x:c r="G16" s="81" t="str">
        <x:v>Validated supplier eligibility evidence</x:v>
      </x:c>
      <x:c r="H16" s="81" t="str">
        <x:v>Supplier Management / Evaluation</x:v>
      </x:c>
      <x:c r="I16" s="81" t="str">
        <x:v>Not assessed</x:v>
      </x:c>
      <x:c r="J16" s="81" t="str">
        <x:v>SRC-003</x:v>
      </x:c>
      <x:c r="K16" s="81" t="str">
        <x:v>Reconcile with current AGPO systems and PPRA guidance.</x:v>
      </x:c>
    </x:row>
    <x:row r="17" ht="52" customHeight="1">
      <x:c r="A17" s="86" t="str">
        <x:v>SCH-12</x:v>
      </x:c>
      <x:c r="B17" s="81" t="str">
        <x:v>Regulations — Twelfth Schedule</x:v>
      </x:c>
      <x:c r="C17" s="81" t="str">
        <x:v>Annual Consolidated Inventory of Assets</x:v>
      </x:c>
      <x:c r="D17" s="81" t="str">
        <x:v>Asset inventory and disposal planning</x:v>
      </x:c>
      <x:c r="E17" s="81" t="str">
        <x:v>Prescribed</x:v>
      </x:c>
      <x:c r="F17" s="81" t="str">
        <x:v>r.166(1)</x:v>
      </x:c>
      <x:c r="G17" s="81" t="str">
        <x:v>Structured asset inventory with preparation/approval</x:v>
      </x:c>
      <x:c r="H17" s="81" t="str">
        <x:v>Asset Management</x:v>
      </x:c>
      <x:c r="I17" s="81" t="str">
        <x:v>Not assessed</x:v>
      </x:c>
      <x:c r="J17" s="81" t="str">
        <x:v>SRC-003</x:v>
      </x:c>
      <x:c r="K17" s="81" t="str">
        <x:v>Upstream source for disposal plan.</x:v>
      </x:c>
    </x:row>
    <x:row r="18" ht="52" customHeight="1">
      <x:c r="A18" s="86" t="str">
        <x:v>SCH-13</x:v>
      </x:c>
      <x:c r="B18" s="81" t="str">
        <x:v>Regulations — Thirteenth Schedule</x:v>
      </x:c>
      <x:c r="C18" s="81" t="str">
        <x:v>Annual Asset Disposal Plan</x:v>
      </x:c>
      <x:c r="D18" s="81" t="str">
        <x:v>Annual disposal planning</x:v>
      </x:c>
      <x:c r="E18" s="81" t="str">
        <x:v>Prescribed</x:v>
      </x:c>
      <x:c r="F18" s="81" t="str">
        <x:v>r.176(2)</x:v>
      </x:c>
      <x:c r="G18" s="81" t="str">
        <x:v>Structured disposal plan with HoPF/AO signatures</x:v>
      </x:c>
      <x:c r="H18" s="81" t="str">
        <x:v>Asset Disposal</x:v>
      </x:c>
      <x:c r="I18" s="81" t="str">
        <x:v>Not in MVP</x:v>
      </x:c>
      <x:c r="J18" s="81" t="str">
        <x:v>SRC-003</x:v>
      </x:c>
      <x:c r="K18" s="81" t="str">
        <x:v>Do not claim disposal support until implemented.</x:v>
      </x:c>
    </x:row>
    <x:row r="19" ht="52" customHeight="1">
      <x:c r="A19" s="86" t="str">
        <x:v>SCH-14</x:v>
      </x:c>
      <x:c r="B19" s="81" t="str">
        <x:v>Regulations — Fourteenth Schedule</x:v>
      </x:c>
      <x:c r="C19" s="81" t="str">
        <x:v>Form for Review</x:v>
      </x:c>
      <x:c r="D19" s="81" t="str">
        <x:v>Administrative review filing</x:v>
      </x:c>
      <x:c r="E19" s="81" t="str">
        <x:v>Prescribed</x:v>
      </x:c>
      <x:c r="F19" s="81" t="str">
        <x:v>r.203(1)</x:v>
      </x:c>
      <x:c r="G19" s="81" t="str">
        <x:v>Review-case form and document bundle</x:v>
      </x:c>
      <x:c r="H19" s="81" t="str">
        <x:v>Administrative Review</x:v>
      </x:c>
      <x:c r="I19" s="81" t="str">
        <x:v>Not in MVP</x:v>
      </x:c>
      <x:c r="J19" s="81" t="str">
        <x:v>SRC-003</x:v>
      </x:c>
      <x:c r="K19" s="81" t="str">
        <x:v>External applicant and Board workflow.</x:v>
      </x:c>
    </x:row>
    <x:row r="20" ht="52" customHeight="1">
      <x:c r="A20" s="86" t="str">
        <x:v>SCH-15</x:v>
      </x:c>
      <x:c r="B20" s="81" t="str">
        <x:v>Regulations — Fifteenth Schedule</x:v>
      </x:c>
      <x:c r="C20" s="81" t="str">
        <x:v>Review fees</x:v>
      </x:c>
      <x:c r="D20" s="81" t="str">
        <x:v>Administrative review filing</x:v>
      </x:c>
      <x:c r="E20" s="81" t="str">
        <x:v>Prescribed/version-sensitive</x:v>
      </x:c>
      <x:c r="F20" s="81" t="str">
        <x:v>Applicable review regulations</x:v>
      </x:c>
      <x:c r="G20" s="81" t="str">
        <x:v>Versioned fee catalogue and receipt</x:v>
      </x:c>
      <x:c r="H20" s="81" t="str">
        <x:v>Administrative Review / Payments</x:v>
      </x:c>
      <x:c r="I20" s="81" t="str">
        <x:v>Not in MVP</x:v>
      </x:c>
      <x:c r="J20" s="81" t="str">
        <x:v>SRC-003</x:v>
      </x:c>
      <x:c r="K20" s="81" t="str">
        <x:v>Never hardcode without effective-date control.</x:v>
      </x:c>
    </x:row>
    <x:row r="21" ht="52" customHeight="1">
      <x:c r="A21" s="86" t="str">
        <x:v>SCH-16</x:v>
      </x:c>
      <x:c r="B21" s="81" t="str">
        <x:v>Regulations — Sixteenth Schedule</x:v>
      </x:c>
      <x:c r="C21" s="81" t="str">
        <x:v>Hearing Notice</x:v>
      </x:c>
      <x:c r="D21" s="81" t="str">
        <x:v>Administrative review hearing</x:v>
      </x:c>
      <x:c r="E21" s="81" t="str">
        <x:v>Prescribed</x:v>
      </x:c>
      <x:c r="F21" s="81" t="str">
        <x:v>r.206(2)</x:v>
      </x:c>
      <x:c r="G21" s="81" t="str">
        <x:v>Notice template, parties and delivery receipts</x:v>
      </x:c>
      <x:c r="H21" s="81" t="str">
        <x:v>Administrative Review</x:v>
      </x:c>
      <x:c r="I21" s="81" t="str">
        <x:v>Not in MVP</x:v>
      </x:c>
      <x:c r="J21" s="81" t="str">
        <x:v>SRC-003</x:v>
      </x:c>
      <x:c r="K21" s="81" t="str">
        <x:v>Board-owned process.</x:v>
      </x:c>
    </x:row>
    <x:row r="22" ht="52" customHeight="1">
      <x:c r="A22" s="86" t="str">
        <x:v>E8-01</x:v>
      </x:c>
      <x:c r="B22" s="81" t="str">
        <x:v>Regulations — Eighth Schedule</x:v>
      </x:c>
      <x:c r="C22" s="81" t="str">
        <x:v>STD — Works: buildings and associated civil engineering works</x:v>
      </x:c>
      <x:c r="D22" s="81" t="str">
        <x:v>As applicable to requirement, method or lifecycle event</x:v>
      </x:c>
      <x:c r="E22" s="81" t="str">
        <x:v>Prescribed catalogue item</x:v>
      </x:c>
      <x:c r="F22" s="81" t="str">
        <x:v>r.68(1)</x:v>
      </x:c>
      <x:c r="G22" s="81" t="str">
        <x:v>Versioned document/form data contract</x:v>
      </x:c>
      <x:c r="H22" s="81" t="str">
        <x:v>STD Administration / Tender Configuration</x:v>
      </x:c>
      <x:c r="I22" s="81" t="str">
        <x:v>Catalogue/system coverage not fully assessed</x:v>
      </x:c>
      <x:c r="J22" s="81" t="str">
        <x:v>SRC-003; SRC-004</x:v>
      </x:c>
      <x:c r="K22" s="81" t="str">
        <x:v>Reconcile exact active format against PPRA current catalogue before use.</x:v>
      </x:c>
    </x:row>
    <x:row r="23" ht="52" customHeight="1">
      <x:c r="A23" s="86" t="str">
        <x:v>E8-02</x:v>
      </x:c>
      <x:c r="B23" s="81" t="str">
        <x:v>Regulations — Eighth Schedule</x:v>
      </x:c>
      <x:c r="C23" s="81" t="str">
        <x:v>STD — Works: roads, water, bridges and related civil works</x:v>
      </x:c>
      <x:c r="D23" s="81" t="str">
        <x:v>As applicable to requirement, method or lifecycle event</x:v>
      </x:c>
      <x:c r="E23" s="81" t="str">
        <x:v>Prescribed catalogue item</x:v>
      </x:c>
      <x:c r="F23" s="81" t="str">
        <x:v>r.68(1)</x:v>
      </x:c>
      <x:c r="G23" s="81" t="str">
        <x:v>Versioned document/form data contract</x:v>
      </x:c>
      <x:c r="H23" s="81" t="str">
        <x:v>STD Administration / Tender Configuration</x:v>
      </x:c>
      <x:c r="I23" s="81" t="str">
        <x:v>Catalogue/system coverage not fully assessed</x:v>
      </x:c>
      <x:c r="J23" s="81" t="str">
        <x:v>SRC-003; SRC-004</x:v>
      </x:c>
      <x:c r="K23" s="81" t="str">
        <x:v>Reconcile exact active format against PPRA current catalogue before use.</x:v>
      </x:c>
    </x:row>
    <x:row r="24" ht="52" customHeight="1">
      <x:c r="A24" s="86" t="str">
        <x:v>E8-03</x:v>
      </x:c>
      <x:c r="B24" s="81" t="str">
        <x:v>Regulations — Eighth Schedule</x:v>
      </x:c>
      <x:c r="C24" s="81" t="str">
        <x:v>STD — Works: electrical and mechanical</x:v>
      </x:c>
      <x:c r="D24" s="81" t="str">
        <x:v>As applicable to requirement, method or lifecycle event</x:v>
      </x:c>
      <x:c r="E24" s="81" t="str">
        <x:v>Prescribed catalogue item</x:v>
      </x:c>
      <x:c r="F24" s="81" t="str">
        <x:v>r.68(1)</x:v>
      </x:c>
      <x:c r="G24" s="81" t="str">
        <x:v>Versioned document/form data contract</x:v>
      </x:c>
      <x:c r="H24" s="81" t="str">
        <x:v>STD Administration / Tender Configuration</x:v>
      </x:c>
      <x:c r="I24" s="81" t="str">
        <x:v>Catalogue/system coverage not fully assessed</x:v>
      </x:c>
      <x:c r="J24" s="81" t="str">
        <x:v>SRC-003; SRC-004</x:v>
      </x:c>
      <x:c r="K24" s="81" t="str">
        <x:v>Reconcile exact active format against PPRA current catalogue before use.</x:v>
      </x:c>
    </x:row>
    <x:row r="25" ht="52" customHeight="1">
      <x:c r="A25" s="86" t="str">
        <x:v>E8-04</x:v>
      </x:c>
      <x:c r="B25" s="81" t="str">
        <x:v>Regulations — Eighth Schedule</x:v>
      </x:c>
      <x:c r="C25" s="81" t="str">
        <x:v>STD — Small works</x:v>
      </x:c>
      <x:c r="D25" s="81" t="str">
        <x:v>As applicable to requirement, method or lifecycle event</x:v>
      </x:c>
      <x:c r="E25" s="81" t="str">
        <x:v>Prescribed catalogue item</x:v>
      </x:c>
      <x:c r="F25" s="81" t="str">
        <x:v>r.68(1)</x:v>
      </x:c>
      <x:c r="G25" s="81" t="str">
        <x:v>Versioned document/form data contract</x:v>
      </x:c>
      <x:c r="H25" s="81" t="str">
        <x:v>STD Administration / Tender Configuration</x:v>
      </x:c>
      <x:c r="I25" s="81" t="str">
        <x:v>Catalogue/system coverage not fully assessed</x:v>
      </x:c>
      <x:c r="J25" s="81" t="str">
        <x:v>SRC-003; SRC-004</x:v>
      </x:c>
      <x:c r="K25" s="81" t="str">
        <x:v>Reconcile exact active format against PPRA current catalogue before use.</x:v>
      </x:c>
    </x:row>
    <x:row r="26" ht="52" customHeight="1">
      <x:c r="A26" s="86" t="str">
        <x:v>E8-05</x:v>
      </x:c>
      <x:c r="B26" s="81" t="str">
        <x:v>Regulations — Eighth Schedule</x:v>
      </x:c>
      <x:c r="C26" s="81" t="str">
        <x:v>STD — Goods</x:v>
      </x:c>
      <x:c r="D26" s="81" t="str">
        <x:v>As applicable to requirement, method or lifecycle event</x:v>
      </x:c>
      <x:c r="E26" s="81" t="str">
        <x:v>Prescribed catalogue item</x:v>
      </x:c>
      <x:c r="F26" s="81" t="str">
        <x:v>r.68(1)</x:v>
      </x:c>
      <x:c r="G26" s="81" t="str">
        <x:v>Versioned document/form data contract</x:v>
      </x:c>
      <x:c r="H26" s="81" t="str">
        <x:v>STD Administration / Tender Configuration</x:v>
      </x:c>
      <x:c r="I26" s="81" t="str">
        <x:v>Catalogue/system coverage not fully assessed</x:v>
      </x:c>
      <x:c r="J26" s="81" t="str">
        <x:v>SRC-003; SRC-004</x:v>
      </x:c>
      <x:c r="K26" s="81" t="str">
        <x:v>Reconcile exact active format against PPRA current catalogue before use.</x:v>
      </x:c>
    </x:row>
    <x:row r="27" ht="52" customHeight="1">
      <x:c r="A27" s="86" t="str">
        <x:v>E8-06</x:v>
      </x:c>
      <x:c r="B27" s="81" t="str">
        <x:v>Regulations — Eighth Schedule</x:v>
      </x:c>
      <x:c r="C27" s="81" t="str">
        <x:v>STD — Request for proposals: consulting firms</x:v>
      </x:c>
      <x:c r="D27" s="81" t="str">
        <x:v>As applicable to requirement, method or lifecycle event</x:v>
      </x:c>
      <x:c r="E27" s="81" t="str">
        <x:v>Prescribed catalogue item</x:v>
      </x:c>
      <x:c r="F27" s="81" t="str">
        <x:v>r.68(1)</x:v>
      </x:c>
      <x:c r="G27" s="81" t="str">
        <x:v>Versioned document/form data contract</x:v>
      </x:c>
      <x:c r="H27" s="81" t="str">
        <x:v>STD Administration / Tender Configuration</x:v>
      </x:c>
      <x:c r="I27" s="81" t="str">
        <x:v>Catalogue/system coverage not fully assessed</x:v>
      </x:c>
      <x:c r="J27" s="81" t="str">
        <x:v>SRC-003; SRC-004</x:v>
      </x:c>
      <x:c r="K27" s="81" t="str">
        <x:v>Reconcile exact active format against PPRA current catalogue before use.</x:v>
      </x:c>
    </x:row>
    <x:row r="28" ht="52" customHeight="1">
      <x:c r="A28" s="86" t="str">
        <x:v>E8-07</x:v>
      </x:c>
      <x:c r="B28" s="81" t="str">
        <x:v>Regulations — Eighth Schedule</x:v>
      </x:c>
      <x:c r="C28" s="81" t="str">
        <x:v>STD — Non-consultancy services</x:v>
      </x:c>
      <x:c r="D28" s="81" t="str">
        <x:v>As applicable to requirement, method or lifecycle event</x:v>
      </x:c>
      <x:c r="E28" s="81" t="str">
        <x:v>Prescribed catalogue item</x:v>
      </x:c>
      <x:c r="F28" s="81" t="str">
        <x:v>r.68(1)</x:v>
      </x:c>
      <x:c r="G28" s="81" t="str">
        <x:v>Versioned document/form data contract</x:v>
      </x:c>
      <x:c r="H28" s="81" t="str">
        <x:v>STD Administration / Tender Configuration</x:v>
      </x:c>
      <x:c r="I28" s="81" t="str">
        <x:v>Catalogue/system coverage not fully assessed</x:v>
      </x:c>
      <x:c r="J28" s="81" t="str">
        <x:v>SRC-003; SRC-004</x:v>
      </x:c>
      <x:c r="K28" s="81" t="str">
        <x:v>Reconcile exact active format against PPRA current catalogue before use.</x:v>
      </x:c>
    </x:row>
    <x:row r="29" ht="52" customHeight="1">
      <x:c r="A29" s="86" t="str">
        <x:v>E8-08</x:v>
      </x:c>
      <x:c r="B29" s="81" t="str">
        <x:v>Regulations — Eighth Schedule</x:v>
      </x:c>
      <x:c r="C29" s="81" t="str">
        <x:v>STD — Request for proposals: individual consultants</x:v>
      </x:c>
      <x:c r="D29" s="81" t="str">
        <x:v>As applicable to requirement, method or lifecycle event</x:v>
      </x:c>
      <x:c r="E29" s="81" t="str">
        <x:v>Prescribed catalogue item</x:v>
      </x:c>
      <x:c r="F29" s="81" t="str">
        <x:v>r.68(1)</x:v>
      </x:c>
      <x:c r="G29" s="81" t="str">
        <x:v>Versioned document/form data contract</x:v>
      </x:c>
      <x:c r="H29" s="81" t="str">
        <x:v>STD Administration / Tender Configuration</x:v>
      </x:c>
      <x:c r="I29" s="81" t="str">
        <x:v>Catalogue/system coverage not fully assessed</x:v>
      </x:c>
      <x:c r="J29" s="81" t="str">
        <x:v>SRC-003; SRC-004</x:v>
      </x:c>
      <x:c r="K29" s="81" t="str">
        <x:v>Reconcile exact active format against PPRA current catalogue before use.</x:v>
      </x:c>
    </x:row>
    <x:row r="30" ht="52" customHeight="1">
      <x:c r="A30" s="86" t="str">
        <x:v>E8-09</x:v>
      </x:c>
      <x:c r="B30" s="81" t="str">
        <x:v>Regulations — Eighth Schedule</x:v>
      </x:c>
      <x:c r="C30" s="81" t="str">
        <x:v>STD — Framework agreements</x:v>
      </x:c>
      <x:c r="D30" s="81" t="str">
        <x:v>As applicable to requirement, method or lifecycle event</x:v>
      </x:c>
      <x:c r="E30" s="81" t="str">
        <x:v>Prescribed catalogue item</x:v>
      </x:c>
      <x:c r="F30" s="81" t="str">
        <x:v>r.68(1)</x:v>
      </x:c>
      <x:c r="G30" s="81" t="str">
        <x:v>Versioned document/form data contract</x:v>
      </x:c>
      <x:c r="H30" s="81" t="str">
        <x:v>STD Administration / Tender Configuration</x:v>
      </x:c>
      <x:c r="I30" s="81" t="str">
        <x:v>Catalogue/system coverage not fully assessed</x:v>
      </x:c>
      <x:c r="J30" s="81" t="str">
        <x:v>SRC-003; SRC-004</x:v>
      </x:c>
      <x:c r="K30" s="81" t="str">
        <x:v>Reconcile exact active format against PPRA current catalogue before use.</x:v>
      </x:c>
    </x:row>
    <x:row r="31" ht="52" customHeight="1">
      <x:c r="A31" s="86" t="str">
        <x:v>E8-10</x:v>
      </x:c>
      <x:c r="B31" s="81" t="str">
        <x:v>Regulations — Eighth Schedule</x:v>
      </x:c>
      <x:c r="C31" s="81" t="str">
        <x:v>STD — Disposal</x:v>
      </x:c>
      <x:c r="D31" s="81" t="str">
        <x:v>As applicable to requirement, method or lifecycle event</x:v>
      </x:c>
      <x:c r="E31" s="81" t="str">
        <x:v>Prescribed catalogue item</x:v>
      </x:c>
      <x:c r="F31" s="81" t="str">
        <x:v>r.68(1)</x:v>
      </x:c>
      <x:c r="G31" s="81" t="str">
        <x:v>Versioned document/form data contract</x:v>
      </x:c>
      <x:c r="H31" s="81" t="str">
        <x:v>STD Administration / Tender Configuration</x:v>
      </x:c>
      <x:c r="I31" s="81" t="str">
        <x:v>Catalogue/system coverage not fully assessed</x:v>
      </x:c>
      <x:c r="J31" s="81" t="str">
        <x:v>SRC-003; SRC-004</x:v>
      </x:c>
      <x:c r="K31" s="81" t="str">
        <x:v>Reconcile exact active format against PPRA current catalogue before use.</x:v>
      </x:c>
    </x:row>
    <x:row r="32" ht="52" customHeight="1">
      <x:c r="A32" s="86" t="str">
        <x:v>E8-11</x:v>
      </x:c>
      <x:c r="B32" s="81" t="str">
        <x:v>Regulations — Eighth Schedule</x:v>
      </x:c>
      <x:c r="C32" s="81" t="str">
        <x:v>STD — Insurance services</x:v>
      </x:c>
      <x:c r="D32" s="81" t="str">
        <x:v>As applicable to requirement, method or lifecycle event</x:v>
      </x:c>
      <x:c r="E32" s="81" t="str">
        <x:v>Prescribed catalogue item</x:v>
      </x:c>
      <x:c r="F32" s="81" t="str">
        <x:v>r.68(1)</x:v>
      </x:c>
      <x:c r="G32" s="81" t="str">
        <x:v>Versioned document/form data contract</x:v>
      </x:c>
      <x:c r="H32" s="81" t="str">
        <x:v>STD Administration / Tender Configuration</x:v>
      </x:c>
      <x:c r="I32" s="81" t="str">
        <x:v>Catalogue/system coverage not fully assessed</x:v>
      </x:c>
      <x:c r="J32" s="81" t="str">
        <x:v>SRC-003; SRC-004</x:v>
      </x:c>
      <x:c r="K32" s="81" t="str">
        <x:v>Reconcile exact active format against PPRA current catalogue before use.</x:v>
      </x:c>
    </x:row>
    <x:row r="33" ht="52" customHeight="1">
      <x:c r="A33" s="86" t="str">
        <x:v>E8-12</x:v>
      </x:c>
      <x:c r="B33" s="81" t="str">
        <x:v>Regulations — Eighth Schedule</x:v>
      </x:c>
      <x:c r="C33" s="81" t="str">
        <x:v>STD — Information technology</x:v>
      </x:c>
      <x:c r="D33" s="81" t="str">
        <x:v>As applicable to requirement, method or lifecycle event</x:v>
      </x:c>
      <x:c r="E33" s="81" t="str">
        <x:v>Prescribed catalogue item</x:v>
      </x:c>
      <x:c r="F33" s="81" t="str">
        <x:v>r.68(1)</x:v>
      </x:c>
      <x:c r="G33" s="81" t="str">
        <x:v>Versioned document/form data contract</x:v>
      </x:c>
      <x:c r="H33" s="81" t="str">
        <x:v>STD Administration / Tender Configuration</x:v>
      </x:c>
      <x:c r="I33" s="81" t="str">
        <x:v>Catalogue/system coverage not fully assessed</x:v>
      </x:c>
      <x:c r="J33" s="81" t="str">
        <x:v>SRC-003; SRC-004</x:v>
      </x:c>
      <x:c r="K33" s="81" t="str">
        <x:v>Reconcile exact active format against PPRA current catalogue before use.</x:v>
      </x:c>
    </x:row>
    <x:row r="34" ht="52" customHeight="1">
      <x:c r="A34" s="86" t="str">
        <x:v>E8-13</x:v>
      </x:c>
      <x:c r="B34" s="81" t="str">
        <x:v>Regulations — Eighth Schedule</x:v>
      </x:c>
      <x:c r="C34" s="81" t="str">
        <x:v>STD — Maintenance services</x:v>
      </x:c>
      <x:c r="D34" s="81" t="str">
        <x:v>As applicable to requirement, method or lifecycle event</x:v>
      </x:c>
      <x:c r="E34" s="81" t="str">
        <x:v>Prescribed catalogue item</x:v>
      </x:c>
      <x:c r="F34" s="81" t="str">
        <x:v>r.68(1)</x:v>
      </x:c>
      <x:c r="G34" s="81" t="str">
        <x:v>Versioned document/form data contract</x:v>
      </x:c>
      <x:c r="H34" s="81" t="str">
        <x:v>STD Administration / Tender Configuration</x:v>
      </x:c>
      <x:c r="I34" s="81" t="str">
        <x:v>Catalogue/system coverage not fully assessed</x:v>
      </x:c>
      <x:c r="J34" s="81" t="str">
        <x:v>SRC-003; SRC-004</x:v>
      </x:c>
      <x:c r="K34" s="81" t="str">
        <x:v>Reconcile exact active format against PPRA current catalogue before use.</x:v>
      </x:c>
    </x:row>
    <x:row r="35" ht="52" customHeight="1">
      <x:c r="A35" s="86" t="str">
        <x:v>E8-14</x:v>
      </x:c>
      <x:c r="B35" s="81" t="str">
        <x:v>Regulations — Eighth Schedule</x:v>
      </x:c>
      <x:c r="C35" s="81" t="str">
        <x:v>STD — Design-build / turnkey contracts</x:v>
      </x:c>
      <x:c r="D35" s="81" t="str">
        <x:v>As applicable to requirement, method or lifecycle event</x:v>
      </x:c>
      <x:c r="E35" s="81" t="str">
        <x:v>Prescribed catalogue item</x:v>
      </x:c>
      <x:c r="F35" s="81" t="str">
        <x:v>r.68(1)</x:v>
      </x:c>
      <x:c r="G35" s="81" t="str">
        <x:v>Versioned document/form data contract</x:v>
      </x:c>
      <x:c r="H35" s="81" t="str">
        <x:v>STD Administration / Tender Configuration</x:v>
      </x:c>
      <x:c r="I35" s="81" t="str">
        <x:v>Catalogue/system coverage not fully assessed</x:v>
      </x:c>
      <x:c r="J35" s="81" t="str">
        <x:v>SRC-003; SRC-004</x:v>
      </x:c>
      <x:c r="K35" s="81" t="str">
        <x:v>Reconcile exact active format against PPRA current catalogue before use.</x:v>
      </x:c>
    </x:row>
    <x:row r="36" ht="52" customHeight="1">
      <x:c r="A36" s="86" t="str">
        <x:v>E8-15</x:v>
      </x:c>
      <x:c r="B36" s="81" t="str">
        <x:v>Regulations — Eighth Schedule</x:v>
      </x:c>
      <x:c r="C36" s="81" t="str">
        <x:v>STD — Supply and installation of plant and equipment</x:v>
      </x:c>
      <x:c r="D36" s="81" t="str">
        <x:v>As applicable to requirement, method or lifecycle event</x:v>
      </x:c>
      <x:c r="E36" s="81" t="str">
        <x:v>Prescribed catalogue item</x:v>
      </x:c>
      <x:c r="F36" s="81" t="str">
        <x:v>r.68(1)</x:v>
      </x:c>
      <x:c r="G36" s="81" t="str">
        <x:v>Versioned document/form data contract</x:v>
      </x:c>
      <x:c r="H36" s="81" t="str">
        <x:v>STD Administration / Tender Configuration</x:v>
      </x:c>
      <x:c r="I36" s="81" t="str">
        <x:v>Catalogue/system coverage not fully assessed</x:v>
      </x:c>
      <x:c r="J36" s="81" t="str">
        <x:v>SRC-003; SRC-004</x:v>
      </x:c>
      <x:c r="K36" s="81" t="str">
        <x:v>Reconcile exact active format against PPRA current catalogue before use.</x:v>
      </x:c>
    </x:row>
    <x:row r="37" ht="52" customHeight="1">
      <x:c r="A37" s="86" t="str">
        <x:v>E8-16</x:v>
      </x:c>
      <x:c r="B37" s="81" t="str">
        <x:v>Regulations — Eighth Schedule</x:v>
      </x:c>
      <x:c r="C37" s="81" t="str">
        <x:v>STD — Specialized goods and services</x:v>
      </x:c>
      <x:c r="D37" s="81" t="str">
        <x:v>As applicable to requirement, method or lifecycle event</x:v>
      </x:c>
      <x:c r="E37" s="81" t="str">
        <x:v>Prescribed catalogue item</x:v>
      </x:c>
      <x:c r="F37" s="81" t="str">
        <x:v>r.68(1)</x:v>
      </x:c>
      <x:c r="G37" s="81" t="str">
        <x:v>Versioned document/form data contract</x:v>
      </x:c>
      <x:c r="H37" s="81" t="str">
        <x:v>STD Administration / Tender Configuration</x:v>
      </x:c>
      <x:c r="I37" s="81" t="str">
        <x:v>Catalogue/system coverage not fully assessed</x:v>
      </x:c>
      <x:c r="J37" s="81" t="str">
        <x:v>SRC-003; SRC-004</x:v>
      </x:c>
      <x:c r="K37" s="81" t="str">
        <x:v>Reconcile exact active format against PPRA current catalogue before use.</x:v>
      </x:c>
    </x:row>
    <x:row r="38" ht="52" customHeight="1">
      <x:c r="A38" s="86" t="str">
        <x:v>E8-17</x:v>
      </x:c>
      <x:c r="B38" s="81" t="str">
        <x:v>Regulations — Eighth Schedule</x:v>
      </x:c>
      <x:c r="C38" s="81" t="str">
        <x:v>STD — Prequalification</x:v>
      </x:c>
      <x:c r="D38" s="81" t="str">
        <x:v>As applicable to requirement, method or lifecycle event</x:v>
      </x:c>
      <x:c r="E38" s="81" t="str">
        <x:v>Prescribed catalogue item</x:v>
      </x:c>
      <x:c r="F38" s="81" t="str">
        <x:v>r.68(1)</x:v>
      </x:c>
      <x:c r="G38" s="81" t="str">
        <x:v>Versioned document/form data contract</x:v>
      </x:c>
      <x:c r="H38" s="81" t="str">
        <x:v>STD Administration / Tender Configuration</x:v>
      </x:c>
      <x:c r="I38" s="81" t="str">
        <x:v>Catalogue/system coverage not fully assessed</x:v>
      </x:c>
      <x:c r="J38" s="81" t="str">
        <x:v>SRC-003; SRC-004</x:v>
      </x:c>
      <x:c r="K38" s="81" t="str">
        <x:v>Reconcile exact active format against PPRA current catalogue before use.</x:v>
      </x:c>
    </x:row>
    <x:row r="39" ht="52" customHeight="1">
      <x:c r="A39" s="86" t="str">
        <x:v>E8-18</x:v>
      </x:c>
      <x:c r="B39" s="81" t="str">
        <x:v>Regulations — Eighth Schedule</x:v>
      </x:c>
      <x:c r="C39" s="81" t="str">
        <x:v>STD — Management contracts</x:v>
      </x:c>
      <x:c r="D39" s="81" t="str">
        <x:v>As applicable to requirement, method or lifecycle event</x:v>
      </x:c>
      <x:c r="E39" s="81" t="str">
        <x:v>Prescribed catalogue item</x:v>
      </x:c>
      <x:c r="F39" s="81" t="str">
        <x:v>r.68(1)</x:v>
      </x:c>
      <x:c r="G39" s="81" t="str">
        <x:v>Versioned document/form data contract</x:v>
      </x:c>
      <x:c r="H39" s="81" t="str">
        <x:v>STD Administration / Tender Configuration</x:v>
      </x:c>
      <x:c r="I39" s="81" t="str">
        <x:v>Catalogue/system coverage not fully assessed</x:v>
      </x:c>
      <x:c r="J39" s="81" t="str">
        <x:v>SRC-003; SRC-004</x:v>
      </x:c>
      <x:c r="K39" s="81" t="str">
        <x:v>Reconcile exact active format against PPRA current catalogue before use.</x:v>
      </x:c>
    </x:row>
    <x:row r="40" ht="52" customHeight="1">
      <x:c r="A40" s="86" t="str">
        <x:v>E8-19</x:v>
      </x:c>
      <x:c r="B40" s="81" t="str">
        <x:v>Regulations — Eighth Schedule</x:v>
      </x:c>
      <x:c r="C40" s="81" t="str">
        <x:v>STD — Performance-based contracts</x:v>
      </x:c>
      <x:c r="D40" s="81" t="str">
        <x:v>As applicable to requirement, method or lifecycle event</x:v>
      </x:c>
      <x:c r="E40" s="81" t="str">
        <x:v>Prescribed catalogue item</x:v>
      </x:c>
      <x:c r="F40" s="81" t="str">
        <x:v>r.68(1)</x:v>
      </x:c>
      <x:c r="G40" s="81" t="str">
        <x:v>Versioned document/form data contract</x:v>
      </x:c>
      <x:c r="H40" s="81" t="str">
        <x:v>STD Administration / Tender Configuration</x:v>
      </x:c>
      <x:c r="I40" s="81" t="str">
        <x:v>Catalogue/system coverage not fully assessed</x:v>
      </x:c>
      <x:c r="J40" s="81" t="str">
        <x:v>SRC-003; SRC-004</x:v>
      </x:c>
      <x:c r="K40" s="81" t="str">
        <x:v>Reconcile exact active format against PPRA current catalogue before use.</x:v>
      </x:c>
    </x:row>
    <x:row r="41" ht="52" customHeight="1">
      <x:c r="A41" s="86" t="str">
        <x:v>E8-20</x:v>
      </x:c>
      <x:c r="B41" s="81" t="str">
        <x:v>Regulations — Eighth Schedule</x:v>
      </x:c>
      <x:c r="C41" s="81" t="str">
        <x:v>STD — Leasing</x:v>
      </x:c>
      <x:c r="D41" s="81" t="str">
        <x:v>As applicable to requirement, method or lifecycle event</x:v>
      </x:c>
      <x:c r="E41" s="81" t="str">
        <x:v>Prescribed catalogue item</x:v>
      </x:c>
      <x:c r="F41" s="81" t="str">
        <x:v>r.68(1)</x:v>
      </x:c>
      <x:c r="G41" s="81" t="str">
        <x:v>Versioned document/form data contract</x:v>
      </x:c>
      <x:c r="H41" s="81" t="str">
        <x:v>STD Administration / Tender Configuration</x:v>
      </x:c>
      <x:c r="I41" s="81" t="str">
        <x:v>Catalogue/system coverage not fully assessed</x:v>
      </x:c>
      <x:c r="J41" s="81" t="str">
        <x:v>SRC-003; SRC-004</x:v>
      </x:c>
      <x:c r="K41" s="81" t="str">
        <x:v>Reconcile exact active format against PPRA current catalogue before use.</x:v>
      </x:c>
    </x:row>
    <x:row r="42" ht="52" customHeight="1">
      <x:c r="A42" s="86" t="str">
        <x:v>E8-21</x:v>
      </x:c>
      <x:c r="B42" s="81" t="str">
        <x:v>Regulations — Eighth Schedule</x:v>
      </x:c>
      <x:c r="C42" s="81" t="str">
        <x:v>Procurement Requisition Standard Form — Legal Services</x:v>
      </x:c>
      <x:c r="D42" s="81" t="str">
        <x:v>As applicable to requirement, method or lifecycle event</x:v>
      </x:c>
      <x:c r="E42" s="81" t="str">
        <x:v>Prescribed catalogue item</x:v>
      </x:c>
      <x:c r="F42" s="81" t="str">
        <x:v>r.68(1)</x:v>
      </x:c>
      <x:c r="G42" s="81" t="str">
        <x:v>Versioned document/form data contract</x:v>
      </x:c>
      <x:c r="H42" s="81" t="str">
        <x:v>STD Administration / Tender Configuration</x:v>
      </x:c>
      <x:c r="I42" s="81" t="str">
        <x:v>Catalogue/system coverage not fully assessed</x:v>
      </x:c>
      <x:c r="J42" s="81" t="str">
        <x:v>SRC-003; SRC-004</x:v>
      </x:c>
      <x:c r="K42" s="81" t="str">
        <x:v>Reconcile exact active format against PPRA current catalogue before use.</x:v>
      </x:c>
    </x:row>
    <x:row r="43" ht="52" customHeight="1">
      <x:c r="A43" s="86" t="str">
        <x:v>E8-22</x:v>
      </x:c>
      <x:c r="B43" s="81" t="str">
        <x:v>Regulations — Eighth Schedule</x:v>
      </x:c>
      <x:c r="C43" s="81" t="str">
        <x:v>STD — Purchase of immovable assets/property</x:v>
      </x:c>
      <x:c r="D43" s="81" t="str">
        <x:v>As applicable to requirement, method or lifecycle event</x:v>
      </x:c>
      <x:c r="E43" s="81" t="str">
        <x:v>Prescribed catalogue item</x:v>
      </x:c>
      <x:c r="F43" s="81" t="str">
        <x:v>r.68(1)</x:v>
      </x:c>
      <x:c r="G43" s="81" t="str">
        <x:v>Versioned document/form data contract</x:v>
      </x:c>
      <x:c r="H43" s="81" t="str">
        <x:v>STD Administration / Tender Configuration</x:v>
      </x:c>
      <x:c r="I43" s="81" t="str">
        <x:v>Catalogue/system coverage not fully assessed</x:v>
      </x:c>
      <x:c r="J43" s="81" t="str">
        <x:v>SRC-003; SRC-004</x:v>
      </x:c>
      <x:c r="K43" s="81" t="str">
        <x:v>Reconcile exact active format against PPRA current catalogue before use.</x:v>
      </x:c>
    </x:row>
    <x:row r="44" ht="52" customHeight="1">
      <x:c r="A44" s="86" t="str">
        <x:v>E8-23</x:v>
      </x:c>
      <x:c r="B44" s="81" t="str">
        <x:v>Regulations — Eighth Schedule</x:v>
      </x:c>
      <x:c r="C44" s="81" t="str">
        <x:v>Request for Quotations Form</x:v>
      </x:c>
      <x:c r="D44" s="81" t="str">
        <x:v>As applicable to requirement, method or lifecycle event</x:v>
      </x:c>
      <x:c r="E44" s="81" t="str">
        <x:v>Prescribed catalogue item</x:v>
      </x:c>
      <x:c r="F44" s="81" t="str">
        <x:v>r.68(1)</x:v>
      </x:c>
      <x:c r="G44" s="81" t="str">
        <x:v>Versioned document/form data contract</x:v>
      </x:c>
      <x:c r="H44" s="81" t="str">
        <x:v>STD Administration / Tender Configuration</x:v>
      </x:c>
      <x:c r="I44" s="81" t="str">
        <x:v>Catalogue/system coverage not fully assessed</x:v>
      </x:c>
      <x:c r="J44" s="81" t="str">
        <x:v>SRC-003; SRC-004</x:v>
      </x:c>
      <x:c r="K44" s="81" t="str">
        <x:v>Reconcile exact active format against PPRA current catalogue before use.</x:v>
      </x:c>
    </x:row>
    <x:row r="45" ht="52" customHeight="1">
      <x:c r="A45" s="86" t="str">
        <x:v>E8-24</x:v>
      </x:c>
      <x:c r="B45" s="81" t="str">
        <x:v>Regulations — Eighth Schedule</x:v>
      </x:c>
      <x:c r="C45" s="81" t="str">
        <x:v>Procurement Requisition Form</x:v>
      </x:c>
      <x:c r="D45" s="81" t="str">
        <x:v>As applicable to requirement, method or lifecycle event</x:v>
      </x:c>
      <x:c r="E45" s="81" t="str">
        <x:v>Prescribed catalogue item</x:v>
      </x:c>
      <x:c r="F45" s="81" t="str">
        <x:v>r.68(1)</x:v>
      </x:c>
      <x:c r="G45" s="81" t="str">
        <x:v>Versioned document/form data contract</x:v>
      </x:c>
      <x:c r="H45" s="81" t="str">
        <x:v>Procurement Requisitions</x:v>
      </x:c>
      <x:c r="I45" s="81" t="str">
        <x:v>Missing/underdeveloped — release critical</x:v>
      </x:c>
      <x:c r="J45" s="81" t="str">
        <x:v>SRC-003; SRC-004</x:v>
      </x:c>
      <x:c r="K45" s="81" t="str">
        <x:v>This is the formal statutory record implemented by the Procurement Requisitions module. It is not the pre-planning Departmental Need record.</x:v>
      </x:c>
    </x:row>
    <x:row r="46" ht="52" customHeight="1">
      <x:c r="A46" s="86" t="str">
        <x:v>E8-25</x:v>
      </x:c>
      <x:c r="B46" s="81" t="str">
        <x:v>Regulations — Eighth Schedule</x:v>
      </x:c>
      <x:c r="C46" s="81" t="str">
        <x:v>Local Purchase Order</x:v>
      </x:c>
      <x:c r="D46" s="81" t="str">
        <x:v>As applicable to requirement, method or lifecycle event</x:v>
      </x:c>
      <x:c r="E46" s="81" t="str">
        <x:v>Prescribed catalogue item</x:v>
      </x:c>
      <x:c r="F46" s="81" t="str">
        <x:v>r.68(1)</x:v>
      </x:c>
      <x:c r="G46" s="81" t="str">
        <x:v>Versioned document/form data contract</x:v>
      </x:c>
      <x:c r="H46" s="81" t="str">
        <x:v>Tender Management / Evaluation</x:v>
      </x:c>
      <x:c r="I46" s="81" t="str">
        <x:v>Catalogue/system coverage not fully assessed</x:v>
      </x:c>
      <x:c r="J46" s="81" t="str">
        <x:v>SRC-003; SRC-004</x:v>
      </x:c>
      <x:c r="K46" s="81" t="str">
        <x:v>Reconcile exact active format against PPRA current catalogue before use.</x:v>
      </x:c>
    </x:row>
    <x:row r="47" ht="52" customHeight="1">
      <x:c r="A47" s="86" t="str">
        <x:v>E8-26</x:v>
      </x:c>
      <x:c r="B47" s="81" t="str">
        <x:v>Regulations — Eighth Schedule</x:v>
      </x:c>
      <x:c r="C47" s="81" t="str">
        <x:v>Order Amendment Form</x:v>
      </x:c>
      <x:c r="D47" s="81" t="str">
        <x:v>As applicable to requirement, method or lifecycle event</x:v>
      </x:c>
      <x:c r="E47" s="81" t="str">
        <x:v>Prescribed catalogue item</x:v>
      </x:c>
      <x:c r="F47" s="81" t="str">
        <x:v>r.68(1)</x:v>
      </x:c>
      <x:c r="G47" s="81" t="str">
        <x:v>Versioned document/form data contract</x:v>
      </x:c>
      <x:c r="H47" s="81" t="str">
        <x:v>Tender Management / Evaluation</x:v>
      </x:c>
      <x:c r="I47" s="81" t="str">
        <x:v>Catalogue/system coverage not fully assessed</x:v>
      </x:c>
      <x:c r="J47" s="81" t="str">
        <x:v>SRC-003; SRC-004</x:v>
      </x:c>
      <x:c r="K47" s="81" t="str">
        <x:v>Reconcile exact active format against PPRA current catalogue before use.</x:v>
      </x:c>
    </x:row>
    <x:row r="48" ht="52" customHeight="1">
      <x:c r="A48" s="86" t="str">
        <x:v>E8-27</x:v>
      </x:c>
      <x:c r="B48" s="81" t="str">
        <x:v>Regulations — Eighth Schedule</x:v>
      </x:c>
      <x:c r="C48" s="81" t="str">
        <x:v>Tender Opening Register</x:v>
      </x:c>
      <x:c r="D48" s="81" t="str">
        <x:v>As applicable to requirement, method or lifecycle event</x:v>
      </x:c>
      <x:c r="E48" s="81" t="str">
        <x:v>Prescribed catalogue item</x:v>
      </x:c>
      <x:c r="F48" s="81" t="str">
        <x:v>r.68(1)</x:v>
      </x:c>
      <x:c r="G48" s="81" t="str">
        <x:v>Versioned document/form data contract</x:v>
      </x:c>
      <x:c r="H48" s="81" t="str">
        <x:v>Tender Management / Evaluation</x:v>
      </x:c>
      <x:c r="I48" s="81" t="str">
        <x:v>Catalogue/system coverage not fully assessed</x:v>
      </x:c>
      <x:c r="J48" s="81" t="str">
        <x:v>SRC-003; SRC-004</x:v>
      </x:c>
      <x:c r="K48" s="81" t="str">
        <x:v>Reconcile exact active format against PPRA current catalogue before use.</x:v>
      </x:c>
    </x:row>
    <x:row r="49" ht="52" customHeight="1">
      <x:c r="A49" s="86" t="str">
        <x:v>E8-28</x:v>
      </x:c>
      <x:c r="B49" s="81" t="str">
        <x:v>Regulations — Eighth Schedule</x:v>
      </x:c>
      <x:c r="C49" s="81" t="str">
        <x:v>Register of Samples</x:v>
      </x:c>
      <x:c r="D49" s="81" t="str">
        <x:v>As applicable to requirement, method or lifecycle event</x:v>
      </x:c>
      <x:c r="E49" s="81" t="str">
        <x:v>Prescribed catalogue item</x:v>
      </x:c>
      <x:c r="F49" s="81" t="str">
        <x:v>r.68(1)</x:v>
      </x:c>
      <x:c r="G49" s="81" t="str">
        <x:v>Versioned document/form data contract</x:v>
      </x:c>
      <x:c r="H49" s="81" t="str">
        <x:v>Tender Management / Evaluation</x:v>
      </x:c>
      <x:c r="I49" s="81" t="str">
        <x:v>Catalogue/system coverage not fully assessed</x:v>
      </x:c>
      <x:c r="J49" s="81" t="str">
        <x:v>SRC-003; SRC-004</x:v>
      </x:c>
      <x:c r="K49" s="81" t="str">
        <x:v>Reconcile exact active format against PPRA current catalogue before use.</x:v>
      </x:c>
    </x:row>
    <x:row r="50" ht="52" customHeight="1">
      <x:c r="A50" s="86" t="str">
        <x:v>E8-29</x:v>
      </x:c>
      <x:c r="B50" s="81" t="str">
        <x:v>Regulations — Eighth Schedule</x:v>
      </x:c>
      <x:c r="C50" s="81" t="str">
        <x:v>Confidential Business Questionnaire</x:v>
      </x:c>
      <x:c r="D50" s="81" t="str">
        <x:v>As applicable to requirement, method or lifecycle event</x:v>
      </x:c>
      <x:c r="E50" s="81" t="str">
        <x:v>Prescribed catalogue item</x:v>
      </x:c>
      <x:c r="F50" s="81" t="str">
        <x:v>r.68(1)</x:v>
      </x:c>
      <x:c r="G50" s="81" t="str">
        <x:v>Versioned document/form data contract</x:v>
      </x:c>
      <x:c r="H50" s="81" t="str">
        <x:v>Tender Management / Evaluation</x:v>
      </x:c>
      <x:c r="I50" s="81" t="str">
        <x:v>Partial CBQ work exists</x:v>
      </x:c>
      <x:c r="J50" s="81" t="str">
        <x:v>SRC-003; SRC-004</x:v>
      </x:c>
      <x:c r="K50" s="81" t="str">
        <x:v>Reconcile exact active format against PPRA current catalogue before use.</x:v>
      </x:c>
    </x:row>
    <x:row r="51" ht="52" customHeight="1">
      <x:c r="A51" s="86" t="str">
        <x:v>E8-30</x:v>
      </x:c>
      <x:c r="B51" s="81" t="str">
        <x:v>Regulations — Eighth Schedule</x:v>
      </x:c>
      <x:c r="C51" s="81" t="str">
        <x:v>Board of Survey Form</x:v>
      </x:c>
      <x:c r="D51" s="81" t="str">
        <x:v>As applicable to requirement, method or lifecycle event</x:v>
      </x:c>
      <x:c r="E51" s="81" t="str">
        <x:v>Prescribed catalogue item</x:v>
      </x:c>
      <x:c r="F51" s="81" t="str">
        <x:v>r.68(1)</x:v>
      </x:c>
      <x:c r="G51" s="81" t="str">
        <x:v>Versioned document/form data contract</x:v>
      </x:c>
      <x:c r="H51" s="81" t="str">
        <x:v>Asset Disposal</x:v>
      </x:c>
      <x:c r="I51" s="81" t="str">
        <x:v>Catalogue/system coverage not fully assessed</x:v>
      </x:c>
      <x:c r="J51" s="81" t="str">
        <x:v>SRC-003; SRC-004</x:v>
      </x:c>
      <x:c r="K51" s="81" t="str">
        <x:v>Reconcile exact active format against PPRA current catalogue before use.</x:v>
      </x:c>
    </x:row>
    <x:row r="52" ht="52" customHeight="1">
      <x:c r="A52" s="86" t="str">
        <x:v>E8-31</x:v>
      </x:c>
      <x:c r="B52" s="81" t="str">
        <x:v>Regulations — Eighth Schedule</x:v>
      </x:c>
      <x:c r="C52" s="81" t="str">
        <x:v>Disposal Certificate</x:v>
      </x:c>
      <x:c r="D52" s="81" t="str">
        <x:v>As applicable to requirement, method or lifecycle event</x:v>
      </x:c>
      <x:c r="E52" s="81" t="str">
        <x:v>Prescribed catalogue item</x:v>
      </x:c>
      <x:c r="F52" s="81" t="str">
        <x:v>r.68(1)</x:v>
      </x:c>
      <x:c r="G52" s="81" t="str">
        <x:v>Versioned document/form data contract</x:v>
      </x:c>
      <x:c r="H52" s="81" t="str">
        <x:v>Asset Disposal</x:v>
      </x:c>
      <x:c r="I52" s="81" t="str">
        <x:v>Catalogue/system coverage not fully assessed</x:v>
      </x:c>
      <x:c r="J52" s="81" t="str">
        <x:v>SRC-003; SRC-004</x:v>
      </x:c>
      <x:c r="K52" s="81" t="str">
        <x:v>Reconcile exact active format against PPRA current catalogue before use.</x:v>
      </x:c>
    </x:row>
    <x:row r="53" ht="52" customHeight="1">
      <x:c r="A53" s="86" t="str">
        <x:v>E8-32</x:v>
      </x:c>
      <x:c r="B53" s="81" t="str">
        <x:v>Regulations — Eighth Schedule</x:v>
      </x:c>
      <x:c r="C53" s="81" t="str">
        <x:v>Destruction Certificate</x:v>
      </x:c>
      <x:c r="D53" s="81" t="str">
        <x:v>As applicable to requirement, method or lifecycle event</x:v>
      </x:c>
      <x:c r="E53" s="81" t="str">
        <x:v>Prescribed catalogue item</x:v>
      </x:c>
      <x:c r="F53" s="81" t="str">
        <x:v>r.68(1)</x:v>
      </x:c>
      <x:c r="G53" s="81" t="str">
        <x:v>Versioned document/form data contract</x:v>
      </x:c>
      <x:c r="H53" s="81" t="str">
        <x:v>Asset Disposal</x:v>
      </x:c>
      <x:c r="I53" s="81" t="str">
        <x:v>Catalogue/system coverage not fully assessed</x:v>
      </x:c>
      <x:c r="J53" s="81" t="str">
        <x:v>SRC-003; SRC-004</x:v>
      </x:c>
      <x:c r="K53" s="81" t="str">
        <x:v>Reconcile exact active format against PPRA current catalogue before use.</x:v>
      </x:c>
    </x:row>
    <x:row r="54" ht="52" customHeight="1">
      <x:c r="A54" s="86" t="str">
        <x:v>E8-33</x:v>
      </x:c>
      <x:c r="B54" s="81" t="str">
        <x:v>Regulations — Eighth Schedule</x:v>
      </x:c>
      <x:c r="C54" s="81" t="str">
        <x:v>Contract Agreement — Goods</x:v>
      </x:c>
      <x:c r="D54" s="81" t="str">
        <x:v>As applicable to requirement, method or lifecycle event</x:v>
      </x:c>
      <x:c r="E54" s="81" t="str">
        <x:v>Prescribed catalogue item</x:v>
      </x:c>
      <x:c r="F54" s="81" t="str">
        <x:v>r.68(1)</x:v>
      </x:c>
      <x:c r="G54" s="81" t="str">
        <x:v>Versioned document/form data contract</x:v>
      </x:c>
      <x:c r="H54" s="81" t="str">
        <x:v>Contracts / Stores</x:v>
      </x:c>
      <x:c r="I54" s="81" t="str">
        <x:v>Catalogue/system coverage not fully assessed</x:v>
      </x:c>
      <x:c r="J54" s="81" t="str">
        <x:v>SRC-003; SRC-004</x:v>
      </x:c>
      <x:c r="K54" s="81" t="str">
        <x:v>Reconcile exact active format against PPRA current catalogue before use.</x:v>
      </x:c>
    </x:row>
    <x:row r="55" ht="52" customHeight="1">
      <x:c r="A55" s="86" t="str">
        <x:v>E8-34</x:v>
      </x:c>
      <x:c r="B55" s="81" t="str">
        <x:v>Regulations — Eighth Schedule</x:v>
      </x:c>
      <x:c r="C55" s="81" t="str">
        <x:v>Stores Requisition and Issue Voucher</x:v>
      </x:c>
      <x:c r="D55" s="81" t="str">
        <x:v>As applicable to requirement, method or lifecycle event</x:v>
      </x:c>
      <x:c r="E55" s="81" t="str">
        <x:v>Prescribed catalogue item</x:v>
      </x:c>
      <x:c r="F55" s="81" t="str">
        <x:v>r.68(1)</x:v>
      </x:c>
      <x:c r="G55" s="81" t="str">
        <x:v>Versioned document/form data contract</x:v>
      </x:c>
      <x:c r="H55" s="81" t="str">
        <x:v>Contracts / Stores</x:v>
      </x:c>
      <x:c r="I55" s="81" t="str">
        <x:v>Catalogue/system coverage not fully assessed</x:v>
      </x:c>
      <x:c r="J55" s="81" t="str">
        <x:v>SRC-003; SRC-004</x:v>
      </x:c>
      <x:c r="K55" s="81" t="str">
        <x:v>Reconcile exact active format against PPRA current catalogue before use.</x:v>
      </x:c>
    </x:row>
    <x:row r="56" ht="52" customHeight="1">
      <x:c r="A56" s="86" t="str">
        <x:v>E8-35</x:v>
      </x:c>
      <x:c r="B56" s="81" t="str">
        <x:v>Regulations — Eighth Schedule</x:v>
      </x:c>
      <x:c r="C56" s="81" t="str">
        <x:v>Stores Receipt Voucher</x:v>
      </x:c>
      <x:c r="D56" s="81" t="str">
        <x:v>As applicable to requirement, method or lifecycle event</x:v>
      </x:c>
      <x:c r="E56" s="81" t="str">
        <x:v>Prescribed catalogue item</x:v>
      </x:c>
      <x:c r="F56" s="81" t="str">
        <x:v>r.68(1)</x:v>
      </x:c>
      <x:c r="G56" s="81" t="str">
        <x:v>Versioned document/form data contract</x:v>
      </x:c>
      <x:c r="H56" s="81" t="str">
        <x:v>Contracts / Stores</x:v>
      </x:c>
      <x:c r="I56" s="81" t="str">
        <x:v>Catalogue/system coverage not fully assessed</x:v>
      </x:c>
      <x:c r="J56" s="81" t="str">
        <x:v>SRC-003; SRC-004</x:v>
      </x:c>
      <x:c r="K56" s="81" t="str">
        <x:v>Reconcile exact active format against PPRA current catalogue before use.</x:v>
      </x:c>
    </x:row>
    <x:row r="57" ht="52" customHeight="1">
      <x:c r="A57" s="86" t="str">
        <x:v>E8-36</x:v>
      </x:c>
      <x:c r="B57" s="81" t="str">
        <x:v>Regulations — Eighth Schedule</x:v>
      </x:c>
      <x:c r="C57" s="81" t="str">
        <x:v>Bin Card / Stock Verification / Issue / Receipt records</x:v>
      </x:c>
      <x:c r="D57" s="81" t="str">
        <x:v>As applicable to requirement, method or lifecycle event</x:v>
      </x:c>
      <x:c r="E57" s="81" t="str">
        <x:v>Prescribed catalogue item</x:v>
      </x:c>
      <x:c r="F57" s="81" t="str">
        <x:v>r.68(1)</x:v>
      </x:c>
      <x:c r="G57" s="81" t="str">
        <x:v>Versioned document/form data contract</x:v>
      </x:c>
      <x:c r="H57" s="81" t="str">
        <x:v>Contracts / Stores</x:v>
      </x:c>
      <x:c r="I57" s="81" t="str">
        <x:v>Catalogue/system coverage not fully assessed</x:v>
      </x:c>
      <x:c r="J57" s="81" t="str">
        <x:v>SRC-003; SRC-004</x:v>
      </x:c>
      <x:c r="K57" s="81" t="str">
        <x:v>Reconcile exact active format against PPRA current catalogue before use.</x:v>
      </x:c>
    </x:row>
    <x:row r="58" ht="52" customHeight="1">
      <x:c r="A58" s="86" t="str">
        <x:v>E8-37</x:v>
      </x:c>
      <x:c r="B58" s="81" t="str">
        <x:v>Regulations — Eighth Schedule</x:v>
      </x:c>
      <x:c r="C58" s="81" t="str">
        <x:v>Contract Agreement — Goods term contracts</x:v>
      </x:c>
      <x:c r="D58" s="81" t="str">
        <x:v>As applicable to requirement, method or lifecycle event</x:v>
      </x:c>
      <x:c r="E58" s="81" t="str">
        <x:v>Prescribed catalogue item</x:v>
      </x:c>
      <x:c r="F58" s="81" t="str">
        <x:v>r.68(1)</x:v>
      </x:c>
      <x:c r="G58" s="81" t="str">
        <x:v>Versioned document/form data contract</x:v>
      </x:c>
      <x:c r="H58" s="81" t="str">
        <x:v>Contracts / Stores</x:v>
      </x:c>
      <x:c r="I58" s="81" t="str">
        <x:v>Catalogue/system coverage not fully assessed</x:v>
      </x:c>
      <x:c r="J58" s="81" t="str">
        <x:v>SRC-003; SRC-004</x:v>
      </x:c>
      <x:c r="K58" s="81" t="str">
        <x:v>Reconcile exact active format against PPRA current catalogue before use.</x:v>
      </x:c>
    </x:row>
    <x:row r="59" ht="52" customHeight="1">
      <x:c r="A59" s="86" t="str">
        <x:v>E8-38</x:v>
      </x:c>
      <x:c r="B59" s="81" t="str">
        <x:v>Regulations — Eighth Schedule</x:v>
      </x:c>
      <x:c r="C59" s="81" t="str">
        <x:v>Contract Agreement — Consultancy</x:v>
      </x:c>
      <x:c r="D59" s="81" t="str">
        <x:v>As applicable to requirement, method or lifecycle event</x:v>
      </x:c>
      <x:c r="E59" s="81" t="str">
        <x:v>Prescribed catalogue item</x:v>
      </x:c>
      <x:c r="F59" s="81" t="str">
        <x:v>r.68(1)</x:v>
      </x:c>
      <x:c r="G59" s="81" t="str">
        <x:v>Versioned document/form data contract</x:v>
      </x:c>
      <x:c r="H59" s="81" t="str">
        <x:v>Contracts / Stores</x:v>
      </x:c>
      <x:c r="I59" s="81" t="str">
        <x:v>Catalogue/system coverage not fully assessed</x:v>
      </x:c>
      <x:c r="J59" s="81" t="str">
        <x:v>SRC-003; SRC-004</x:v>
      </x:c>
      <x:c r="K59" s="81" t="str">
        <x:v>Reconcile exact active format against PPRA current catalogue before use.</x:v>
      </x:c>
    </x:row>
    <x:row r="60" ht="52" customHeight="1">
      <x:c r="A60" s="86" t="str">
        <x:v>E8-39</x:v>
      </x:c>
      <x:c r="B60" s="81" t="str">
        <x:v>Regulations — Eighth Schedule</x:v>
      </x:c>
      <x:c r="C60" s="81" t="str">
        <x:v>Contract Agreement — Time-based consultancy</x:v>
      </x:c>
      <x:c r="D60" s="81" t="str">
        <x:v>As applicable to requirement, method or lifecycle event</x:v>
      </x:c>
      <x:c r="E60" s="81" t="str">
        <x:v>Prescribed catalogue item</x:v>
      </x:c>
      <x:c r="F60" s="81" t="str">
        <x:v>r.68(1)</x:v>
      </x:c>
      <x:c r="G60" s="81" t="str">
        <x:v>Versioned document/form data contract</x:v>
      </x:c>
      <x:c r="H60" s="81" t="str">
        <x:v>Contracts / Stores</x:v>
      </x:c>
      <x:c r="I60" s="81" t="str">
        <x:v>Catalogue/system coverage not fully assessed</x:v>
      </x:c>
      <x:c r="J60" s="81" t="str">
        <x:v>SRC-003; SRC-004</x:v>
      </x:c>
      <x:c r="K60" s="81" t="str">
        <x:v>Reconcile exact active format against PPRA current catalogue before use.</x:v>
      </x:c>
    </x:row>
    <x:row r="61" ht="52" customHeight="1">
      <x:c r="A61" s="86" t="str">
        <x:v>E8-40</x:v>
      </x:c>
      <x:c r="B61" s="81" t="str">
        <x:v>Regulations — Eighth Schedule</x:v>
      </x:c>
      <x:c r="C61" s="81" t="str">
        <x:v>Contract Agreement — General services</x:v>
      </x:c>
      <x:c r="D61" s="81" t="str">
        <x:v>As applicable to requirement, method or lifecycle event</x:v>
      </x:c>
      <x:c r="E61" s="81" t="str">
        <x:v>Prescribed catalogue item</x:v>
      </x:c>
      <x:c r="F61" s="81" t="str">
        <x:v>r.68(1)</x:v>
      </x:c>
      <x:c r="G61" s="81" t="str">
        <x:v>Versioned document/form data contract</x:v>
      </x:c>
      <x:c r="H61" s="81" t="str">
        <x:v>Contracts / Stores</x:v>
      </x:c>
      <x:c r="I61" s="81" t="str">
        <x:v>Catalogue/system coverage not fully assessed</x:v>
      </x:c>
      <x:c r="J61" s="81" t="str">
        <x:v>SRC-003; SRC-004</x:v>
      </x:c>
      <x:c r="K61" s="81" t="str">
        <x:v>Reconcile exact active format against PPRA current catalogue before use.</x:v>
      </x:c>
    </x:row>
    <x:row r="62" ht="52" customHeight="1">
      <x:c r="A62" s="86" t="str">
        <x:v>E8-41</x:v>
      </x:c>
      <x:c r="B62" s="81" t="str">
        <x:v>Regulations — Eighth Schedule</x:v>
      </x:c>
      <x:c r="C62" s="81" t="str">
        <x:v>Contract Agreement — Insurance</x:v>
      </x:c>
      <x:c r="D62" s="81" t="str">
        <x:v>As applicable to requirement, method or lifecycle event</x:v>
      </x:c>
      <x:c r="E62" s="81" t="str">
        <x:v>Prescribed catalogue item</x:v>
      </x:c>
      <x:c r="F62" s="81" t="str">
        <x:v>r.68(1)</x:v>
      </x:c>
      <x:c r="G62" s="81" t="str">
        <x:v>Versioned document/form data contract</x:v>
      </x:c>
      <x:c r="H62" s="81" t="str">
        <x:v>Contracts / Stores</x:v>
      </x:c>
      <x:c r="I62" s="81" t="str">
        <x:v>Catalogue/system coverage not fully assessed</x:v>
      </x:c>
      <x:c r="J62" s="81" t="str">
        <x:v>SRC-003; SRC-004</x:v>
      </x:c>
      <x:c r="K62" s="81" t="str">
        <x:v>Reconcile exact active format against PPRA current catalogue before use.</x:v>
      </x:c>
    </x:row>
    <x:row r="63" ht="52" customHeight="1">
      <x:c r="A63" s="86" t="str">
        <x:v>E8-42</x:v>
      </x:c>
      <x:c r="B63" s="81" t="str">
        <x:v>Regulations — Eighth Schedule</x:v>
      </x:c>
      <x:c r="C63" s="81" t="str">
        <x:v>Framework Agreements / Contracts</x:v>
      </x:c>
      <x:c r="D63" s="81" t="str">
        <x:v>As applicable to requirement, method or lifecycle event</x:v>
      </x:c>
      <x:c r="E63" s="81" t="str">
        <x:v>Prescribed catalogue item</x:v>
      </x:c>
      <x:c r="F63" s="81" t="str">
        <x:v>r.68(1)</x:v>
      </x:c>
      <x:c r="G63" s="81" t="str">
        <x:v>Versioned document/form data contract</x:v>
      </x:c>
      <x:c r="H63" s="81" t="str">
        <x:v>Contracts / Stores</x:v>
      </x:c>
      <x:c r="I63" s="81" t="str">
        <x:v>Catalogue/system coverage not fully assessed</x:v>
      </x:c>
      <x:c r="J63" s="81" t="str">
        <x:v>SRC-003; SRC-004</x:v>
      </x:c>
      <x:c r="K63" s="81" t="str">
        <x:v>Reconcile exact active format against PPRA current catalogue before use.</x:v>
      </x:c>
    </x:row>
    <x:row r="64" ht="52" customHeight="1">
      <x:c r="A64" s="86" t="str">
        <x:v>PPRA-01</x:v>
      </x:c>
      <x:c r="B64" s="81" t="str">
        <x:v>PPRA current Standard Tender Documents page</x:v>
      </x:c>
      <x:c r="C64" s="81" t="str">
        <x:v>STD for Works — Building and Associated Civil Engineering Works</x:v>
      </x:c>
      <x:c r="D64" s="81" t="str">
        <x:v>Use where applicable to the governed requirement and method</x:v>
      </x:c>
      <x:c r="E64" s="81" t="str">
        <x:v>Current regulatory instrument; effective-date/version must be captured</x:v>
      </x:c>
      <x:c r="F64" s="81" t="str">
        <x:v>PPADA ss.9, 58, 70; PPRA Circular No.2/2021</x:v>
      </x:c>
      <x:c r="G64" s="81" t="str">
        <x:v>Download/import, checksum, map to Eighth Schedule, activate by compliance owner</x:v>
      </x:c>
      <x:c r="H64" s="81" t="str">
        <x:v>STD Administration / Tender Management</x:v>
      </x:c>
      <x:c r="I64" s="81" t="str">
        <x:v>Not fully assessed</x:v>
      </x:c>
      <x:c r="J64" s="81" t="str">
        <x:v>SRC-004; SRC-005</x:v>
      </x:c>
      <x:c r="K64" s="81" t="str">
        <x:v>PPRA page reviewed 17 August 2026; monitor for replacements or updates.</x:v>
      </x:c>
    </x:row>
    <x:row r="65" ht="52" customHeight="1">
      <x:c r="A65" s="86" t="str">
        <x:v>PPRA-02</x:v>
      </x:c>
      <x:c r="B65" s="81" t="str">
        <x:v>PPRA current Standard Tender Documents page</x:v>
      </x:c>
      <x:c r="C65" s="81" t="str">
        <x:v>STD for Works — Roads, Water and Bridges</x:v>
      </x:c>
      <x:c r="D65" s="81" t="str">
        <x:v>Use where applicable to the governed requirement and method</x:v>
      </x:c>
      <x:c r="E65" s="81" t="str">
        <x:v>Current regulatory instrument; effective-date/version must be captured</x:v>
      </x:c>
      <x:c r="F65" s="81" t="str">
        <x:v>PPADA ss.9, 58, 70; PPRA Circular No.2/2021</x:v>
      </x:c>
      <x:c r="G65" s="81" t="str">
        <x:v>Download/import, checksum, map to Eighth Schedule, activate by compliance owner</x:v>
      </x:c>
      <x:c r="H65" s="81" t="str">
        <x:v>STD Administration / Tender Management</x:v>
      </x:c>
      <x:c r="I65" s="81" t="str">
        <x:v>Not fully assessed</x:v>
      </x:c>
      <x:c r="J65" s="81" t="str">
        <x:v>SRC-004; SRC-005</x:v>
      </x:c>
      <x:c r="K65" s="81" t="str">
        <x:v>PPRA page reviewed 17 August 2026; monitor for replacements or updates.</x:v>
      </x:c>
    </x:row>
    <x:row r="66" ht="52" customHeight="1">
      <x:c r="A66" s="86" t="str">
        <x:v>PPRA-03</x:v>
      </x:c>
      <x:c r="B66" s="81" t="str">
        <x:v>PPRA current Standard Tender Documents page</x:v>
      </x:c>
      <x:c r="C66" s="81" t="str">
        <x:v>STD for Small Works</x:v>
      </x:c>
      <x:c r="D66" s="81" t="str">
        <x:v>Use where applicable to the governed requirement and method</x:v>
      </x:c>
      <x:c r="E66" s="81" t="str">
        <x:v>Current regulatory instrument; effective-date/version must be captured</x:v>
      </x:c>
      <x:c r="F66" s="81" t="str">
        <x:v>PPADA ss.9, 58, 70; PPRA Circular No.2/2021</x:v>
      </x:c>
      <x:c r="G66" s="81" t="str">
        <x:v>Download/import, checksum, map to Eighth Schedule, activate by compliance owner</x:v>
      </x:c>
      <x:c r="H66" s="81" t="str">
        <x:v>STD Administration / Tender Management</x:v>
      </x:c>
      <x:c r="I66" s="81" t="str">
        <x:v>Not fully assessed</x:v>
      </x:c>
      <x:c r="J66" s="81" t="str">
        <x:v>SRC-004; SRC-005</x:v>
      </x:c>
      <x:c r="K66" s="81" t="str">
        <x:v>PPRA page reviewed 17 August 2026; monitor for replacements or updates.</x:v>
      </x:c>
    </x:row>
    <x:row r="67" ht="52" customHeight="1">
      <x:c r="A67" s="86" t="str">
        <x:v>PPRA-04</x:v>
      </x:c>
      <x:c r="B67" s="81" t="str">
        <x:v>PPRA current Standard Tender Documents page</x:v>
      </x:c>
      <x:c r="C67" s="81" t="str">
        <x:v>STD for Procurement of Goods</x:v>
      </x:c>
      <x:c r="D67" s="81" t="str">
        <x:v>Use where applicable to the governed requirement and method</x:v>
      </x:c>
      <x:c r="E67" s="81" t="str">
        <x:v>Current regulatory instrument; effective-date/version must be captured</x:v>
      </x:c>
      <x:c r="F67" s="81" t="str">
        <x:v>PPADA ss.9, 58, 70; PPRA Circular No.2/2021</x:v>
      </x:c>
      <x:c r="G67" s="81" t="str">
        <x:v>Download/import, checksum, map to Eighth Schedule, activate by compliance owner</x:v>
      </x:c>
      <x:c r="H67" s="81" t="str">
        <x:v>STD Administration / Tender Management</x:v>
      </x:c>
      <x:c r="I67" s="81" t="str">
        <x:v>Not fully assessed</x:v>
      </x:c>
      <x:c r="J67" s="81" t="str">
        <x:v>SRC-004; SRC-005</x:v>
      </x:c>
      <x:c r="K67" s="81" t="str">
        <x:v>PPRA page reviewed 17 August 2026; monitor for replacements or updates.</x:v>
      </x:c>
    </x:row>
    <x:row r="68" ht="52" customHeight="1">
      <x:c r="A68" s="86" t="str">
        <x:v>PPRA-05</x:v>
      </x:c>
      <x:c r="B68" s="81" t="str">
        <x:v>PPRA current Standard Tender Documents page</x:v>
      </x:c>
      <x:c r="C68" s="81" t="str">
        <x:v>STD for Request for Proposal</x:v>
      </x:c>
      <x:c r="D68" s="81" t="str">
        <x:v>Use where applicable to the governed requirement and method</x:v>
      </x:c>
      <x:c r="E68" s="81" t="str">
        <x:v>Current regulatory instrument; effective-date/version must be captured</x:v>
      </x:c>
      <x:c r="F68" s="81" t="str">
        <x:v>PPADA ss.9, 58, 70; PPRA Circular No.2/2021</x:v>
      </x:c>
      <x:c r="G68" s="81" t="str">
        <x:v>Download/import, checksum, map to Eighth Schedule, activate by compliance owner</x:v>
      </x:c>
      <x:c r="H68" s="81" t="str">
        <x:v>STD Administration / Tender Management</x:v>
      </x:c>
      <x:c r="I68" s="81" t="str">
        <x:v>Not fully assessed</x:v>
      </x:c>
      <x:c r="J68" s="81" t="str">
        <x:v>SRC-004; SRC-005</x:v>
      </x:c>
      <x:c r="K68" s="81" t="str">
        <x:v>PPRA page reviewed 17 August 2026; monitor for replacements or updates.</x:v>
      </x:c>
    </x:row>
    <x:row r="69" ht="52" customHeight="1">
      <x:c r="A69" s="86" t="str">
        <x:v>PPRA-06</x:v>
      </x:c>
      <x:c r="B69" s="81" t="str">
        <x:v>PPRA current Standard Tender Documents page</x:v>
      </x:c>
      <x:c r="C69" s="81" t="str">
        <x:v>STD Procedures for Preparing Framework Agreements</x:v>
      </x:c>
      <x:c r="D69" s="81" t="str">
        <x:v>Use where applicable to the governed requirement and method</x:v>
      </x:c>
      <x:c r="E69" s="81" t="str">
        <x:v>Current regulatory instrument; effective-date/version must be captured</x:v>
      </x:c>
      <x:c r="F69" s="81" t="str">
        <x:v>PPADA ss.9, 58, 70; PPRA Circular No.2/2021</x:v>
      </x:c>
      <x:c r="G69" s="81" t="str">
        <x:v>Download/import, checksum, map to Eighth Schedule, activate by compliance owner</x:v>
      </x:c>
      <x:c r="H69" s="81" t="str">
        <x:v>STD Administration / Tender Management</x:v>
      </x:c>
      <x:c r="I69" s="81" t="str">
        <x:v>Not fully assessed</x:v>
      </x:c>
      <x:c r="J69" s="81" t="str">
        <x:v>SRC-004; SRC-005</x:v>
      </x:c>
      <x:c r="K69" s="81" t="str">
        <x:v>PPRA page reviewed 17 August 2026; monitor for replacements or updates.</x:v>
      </x:c>
    </x:row>
    <x:row r="70" ht="52" customHeight="1">
      <x:c r="A70" s="86" t="str">
        <x:v>PPRA-07</x:v>
      </x:c>
      <x:c r="B70" s="81" t="str">
        <x:v>PPRA current Standard Tender Documents page</x:v>
      </x:c>
      <x:c r="C70" s="81" t="str">
        <x:v>STD for Non-Consulting Services</x:v>
      </x:c>
      <x:c r="D70" s="81" t="str">
        <x:v>Use where applicable to the governed requirement and method</x:v>
      </x:c>
      <x:c r="E70" s="81" t="str">
        <x:v>Current regulatory instrument; effective-date/version must be captured</x:v>
      </x:c>
      <x:c r="F70" s="81" t="str">
        <x:v>PPADA ss.9, 58, 70; PPRA Circular No.2/2021</x:v>
      </x:c>
      <x:c r="G70" s="81" t="str">
        <x:v>Download/import, checksum, map to Eighth Schedule, activate by compliance owner</x:v>
      </x:c>
      <x:c r="H70" s="81" t="str">
        <x:v>STD Administration / Tender Management</x:v>
      </x:c>
      <x:c r="I70" s="81" t="str">
        <x:v>Not fully assessed</x:v>
      </x:c>
      <x:c r="J70" s="81" t="str">
        <x:v>SRC-004; SRC-005</x:v>
      </x:c>
      <x:c r="K70" s="81" t="str">
        <x:v>PPRA page reviewed 17 August 2026; monitor for replacements or updates.</x:v>
      </x:c>
    </x:row>
    <x:row r="71" ht="52" customHeight="1">
      <x:c r="A71" s="86" t="str">
        <x:v>PPRA-08</x:v>
      </x:c>
      <x:c r="B71" s="81" t="str">
        <x:v>PPRA current Standard Tender Documents page</x:v>
      </x:c>
      <x:c r="C71" s="81" t="str">
        <x:v>STD for Disposal</x:v>
      </x:c>
      <x:c r="D71" s="81" t="str">
        <x:v>Use where applicable to the governed requirement and method</x:v>
      </x:c>
      <x:c r="E71" s="81" t="str">
        <x:v>Current regulatory instrument; effective-date/version must be captured</x:v>
      </x:c>
      <x:c r="F71" s="81" t="str">
        <x:v>PPADA ss.9, 58, 70; PPRA Circular No.2/2021</x:v>
      </x:c>
      <x:c r="G71" s="81" t="str">
        <x:v>Download/import, checksum, map to Eighth Schedule, activate by compliance owner</x:v>
      </x:c>
      <x:c r="H71" s="81" t="str">
        <x:v>STD Administration / Tender Management</x:v>
      </x:c>
      <x:c r="I71" s="81" t="str">
        <x:v>Not fully assessed</x:v>
      </x:c>
      <x:c r="J71" s="81" t="str">
        <x:v>SRC-004; SRC-005</x:v>
      </x:c>
      <x:c r="K71" s="81" t="str">
        <x:v>PPRA page reviewed 17 August 2026; monitor for replacements or updates.</x:v>
      </x:c>
    </x:row>
    <x:row r="72" ht="52" customHeight="1">
      <x:c r="A72" s="86" t="str">
        <x:v>PPRA-09</x:v>
      </x:c>
      <x:c r="B72" s="81" t="str">
        <x:v>PPRA current Standard Tender Documents page</x:v>
      </x:c>
      <x:c r="C72" s="81" t="str">
        <x:v>STD for Insurance Services</x:v>
      </x:c>
      <x:c r="D72" s="81" t="str">
        <x:v>Use where applicable to the governed requirement and method</x:v>
      </x:c>
      <x:c r="E72" s="81" t="str">
        <x:v>Current regulatory instrument; effective-date/version must be captured</x:v>
      </x:c>
      <x:c r="F72" s="81" t="str">
        <x:v>PPADA ss.9, 58, 70; PPRA Circular No.2/2021</x:v>
      </x:c>
      <x:c r="G72" s="81" t="str">
        <x:v>Download/import, checksum, map to Eighth Schedule, activate by compliance owner</x:v>
      </x:c>
      <x:c r="H72" s="81" t="str">
        <x:v>STD Administration / Tender Management</x:v>
      </x:c>
      <x:c r="I72" s="81" t="str">
        <x:v>Not fully assessed</x:v>
      </x:c>
      <x:c r="J72" s="81" t="str">
        <x:v>SRC-004; SRC-005</x:v>
      </x:c>
      <x:c r="K72" s="81" t="str">
        <x:v>PPRA page reviewed 17 August 2026; monitor for replacements or updates.</x:v>
      </x:c>
    </x:row>
    <x:row r="73" ht="52" customHeight="1">
      <x:c r="A73" s="86" t="str">
        <x:v>PPRA-10</x:v>
      </x:c>
      <x:c r="B73" s="81" t="str">
        <x:v>PPRA current Standard Tender Documents page</x:v>
      </x:c>
      <x:c r="C73" s="81" t="str">
        <x:v>STD for Information Technology</x:v>
      </x:c>
      <x:c r="D73" s="81" t="str">
        <x:v>Use where applicable to the governed requirement and method</x:v>
      </x:c>
      <x:c r="E73" s="81" t="str">
        <x:v>Current regulatory instrument; effective-date/version must be captured</x:v>
      </x:c>
      <x:c r="F73" s="81" t="str">
        <x:v>PPADA ss.9, 58, 70; PPRA Circular No.2/2021</x:v>
      </x:c>
      <x:c r="G73" s="81" t="str">
        <x:v>Download/import, checksum, map to Eighth Schedule, activate by compliance owner</x:v>
      </x:c>
      <x:c r="H73" s="81" t="str">
        <x:v>STD Administration / IT Tender Configuration</x:v>
      </x:c>
      <x:c r="I73" s="81" t="str">
        <x:v>Substantial KenTender work exists; version assurance required</x:v>
      </x:c>
      <x:c r="J73" s="81" t="str">
        <x:v>SRC-004; SRC-005</x:v>
      </x:c>
      <x:c r="K73" s="81" t="str">
        <x:v>PPRA page reviewed 17 August 2026; monitor for replacements or updates.</x:v>
      </x:c>
    </x:row>
    <x:row r="74" ht="52" customHeight="1">
      <x:c r="A74" s="86" t="str">
        <x:v>PPRA-11</x:v>
      </x:c>
      <x:c r="B74" s="81" t="str">
        <x:v>PPRA current Standard Tender Documents page</x:v>
      </x:c>
      <x:c r="C74" s="81" t="str">
        <x:v>STD for Maintenance Services</x:v>
      </x:c>
      <x:c r="D74" s="81" t="str">
        <x:v>Use where applicable to the governed requirement and method</x:v>
      </x:c>
      <x:c r="E74" s="81" t="str">
        <x:v>Current regulatory instrument; effective-date/version must be captured</x:v>
      </x:c>
      <x:c r="F74" s="81" t="str">
        <x:v>PPADA ss.9, 58, 70; PPRA Circular No.2/2021</x:v>
      </x:c>
      <x:c r="G74" s="81" t="str">
        <x:v>Download/import, checksum, map to Eighth Schedule, activate by compliance owner</x:v>
      </x:c>
      <x:c r="H74" s="81" t="str">
        <x:v>STD Administration / Tender Management</x:v>
      </x:c>
      <x:c r="I74" s="81" t="str">
        <x:v>Not fully assessed</x:v>
      </x:c>
      <x:c r="J74" s="81" t="str">
        <x:v>SRC-004; SRC-005</x:v>
      </x:c>
      <x:c r="K74" s="81" t="str">
        <x:v>PPRA page reviewed 17 August 2026; monitor for replacements or updates.</x:v>
      </x:c>
    </x:row>
    <x:row r="75" ht="52" customHeight="1">
      <x:c r="A75" s="86" t="str">
        <x:v>PPRA-12</x:v>
      </x:c>
      <x:c r="B75" s="81" t="str">
        <x:v>PPRA current Standard Tender Documents page</x:v>
      </x:c>
      <x:c r="C75" s="81" t="str">
        <x:v>STD for Design &amp; Build / Turnkey Contracts</x:v>
      </x:c>
      <x:c r="D75" s="81" t="str">
        <x:v>Use where applicable to the governed requirement and method</x:v>
      </x:c>
      <x:c r="E75" s="81" t="str">
        <x:v>Current regulatory instrument; effective-date/version must be captured</x:v>
      </x:c>
      <x:c r="F75" s="81" t="str">
        <x:v>PPADA ss.9, 58, 70; PPRA Circular No.2/2021</x:v>
      </x:c>
      <x:c r="G75" s="81" t="str">
        <x:v>Download/import, checksum, map to Eighth Schedule, activate by compliance owner</x:v>
      </x:c>
      <x:c r="H75" s="81" t="str">
        <x:v>STD Administration / Tender Management</x:v>
      </x:c>
      <x:c r="I75" s="81" t="str">
        <x:v>Not fully assessed</x:v>
      </x:c>
      <x:c r="J75" s="81" t="str">
        <x:v>SRC-004; SRC-005</x:v>
      </x:c>
      <x:c r="K75" s="81" t="str">
        <x:v>PPRA page reviewed 17 August 2026; monitor for replacements or updates.</x:v>
      </x:c>
    </x:row>
    <x:row r="76" ht="52" customHeight="1">
      <x:c r="A76" s="86" t="str">
        <x:v>PPRA-13</x:v>
      </x:c>
      <x:c r="B76" s="81" t="str">
        <x:v>PPRA current Standard Tender Documents page</x:v>
      </x:c>
      <x:c r="C76" s="81" t="str">
        <x:v>STD for Supply and Installation of Plant and Equipment</x:v>
      </x:c>
      <x:c r="D76" s="81" t="str">
        <x:v>Use where applicable to the governed requirement and method</x:v>
      </x:c>
      <x:c r="E76" s="81" t="str">
        <x:v>Current regulatory instrument; effective-date/version must be captured</x:v>
      </x:c>
      <x:c r="F76" s="81" t="str">
        <x:v>PPADA ss.9, 58, 70; PPRA Circular No.2/2021</x:v>
      </x:c>
      <x:c r="G76" s="81" t="str">
        <x:v>Download/import, checksum, map to Eighth Schedule, activate by compliance owner</x:v>
      </x:c>
      <x:c r="H76" s="81" t="str">
        <x:v>STD Administration / Tender Management</x:v>
      </x:c>
      <x:c r="I76" s="81" t="str">
        <x:v>Not fully assessed</x:v>
      </x:c>
      <x:c r="J76" s="81" t="str">
        <x:v>SRC-004; SRC-005</x:v>
      </x:c>
      <x:c r="K76" s="81" t="str">
        <x:v>PPRA page reviewed 17 August 2026; monitor for replacements or updates.</x:v>
      </x:c>
    </x:row>
    <x:row r="77" ht="52" customHeight="1">
      <x:c r="A77" s="86" t="str">
        <x:v>PPRA-14</x:v>
      </x:c>
      <x:c r="B77" s="81" t="str">
        <x:v>PPRA current Standard Tender Documents page</x:v>
      </x:c>
      <x:c r="C77" s="81" t="str">
        <x:v>STD for Specialized Goods — Textbooks and Reading Materials</x:v>
      </x:c>
      <x:c r="D77" s="81" t="str">
        <x:v>Use where applicable to the governed requirement and method</x:v>
      </x:c>
      <x:c r="E77" s="81" t="str">
        <x:v>Current regulatory instrument; effective-date/version must be captured</x:v>
      </x:c>
      <x:c r="F77" s="81" t="str">
        <x:v>PPADA ss.9, 58, 70; PPRA Circular No.2/2021</x:v>
      </x:c>
      <x:c r="G77" s="81" t="str">
        <x:v>Download/import, checksum, map to Eighth Schedule, activate by compliance owner</x:v>
      </x:c>
      <x:c r="H77" s="81" t="str">
        <x:v>STD Administration / Tender Management</x:v>
      </x:c>
      <x:c r="I77" s="81" t="str">
        <x:v>Not fully assessed</x:v>
      </x:c>
      <x:c r="J77" s="81" t="str">
        <x:v>SRC-004; SRC-005</x:v>
      </x:c>
      <x:c r="K77" s="81" t="str">
        <x:v>PPRA page reviewed 17 August 2026; monitor for replacements or updates.</x:v>
      </x:c>
    </x:row>
    <x:row r="78" ht="52" customHeight="1">
      <x:c r="A78" s="86" t="str">
        <x:v>PPRA-15</x:v>
      </x:c>
      <x:c r="B78" s="81" t="str">
        <x:v>PPRA current Standard Tender Documents page</x:v>
      </x:c>
      <x:c r="C78" s="81" t="str">
        <x:v>STD for Specialized Health-Sector Goods</x:v>
      </x:c>
      <x:c r="D78" s="81" t="str">
        <x:v>Use where applicable to the governed requirement and method</x:v>
      </x:c>
      <x:c r="E78" s="81" t="str">
        <x:v>Current regulatory instrument; effective-date/version must be captured</x:v>
      </x:c>
      <x:c r="F78" s="81" t="str">
        <x:v>PPADA ss.9, 58, 70; PPRA Circular No.2/2021</x:v>
      </x:c>
      <x:c r="G78" s="81" t="str">
        <x:v>Download/import, checksum, map to Eighth Schedule, activate by compliance owner</x:v>
      </x:c>
      <x:c r="H78" s="81" t="str">
        <x:v>STD Administration / Tender Management</x:v>
      </x:c>
      <x:c r="I78" s="81" t="str">
        <x:v>Not fully assessed</x:v>
      </x:c>
      <x:c r="J78" s="81" t="str">
        <x:v>SRC-004; SRC-005</x:v>
      </x:c>
      <x:c r="K78" s="81" t="str">
        <x:v>PPRA page reviewed 17 August 2026; monitor for replacements or updates.</x:v>
      </x:c>
    </x:row>
    <x:row r="79" ht="52" customHeight="1">
      <x:c r="A79" s="86" t="str">
        <x:v>PPRA-16</x:v>
      </x:c>
      <x:c r="B79" s="81" t="str">
        <x:v>PPRA current Standard Tender Documents page</x:v>
      </x:c>
      <x:c r="C79" s="81" t="str">
        <x:v>STD Prequalification — Works and Goods Contracts</x:v>
      </x:c>
      <x:c r="D79" s="81" t="str">
        <x:v>Use where applicable to the governed requirement and method</x:v>
      </x:c>
      <x:c r="E79" s="81" t="str">
        <x:v>Current regulatory instrument; effective-date/version must be captured</x:v>
      </x:c>
      <x:c r="F79" s="81" t="str">
        <x:v>PPADA ss.9, 58, 70; PPRA Circular No.2/2021</x:v>
      </x:c>
      <x:c r="G79" s="81" t="str">
        <x:v>Download/import, checksum, map to Eighth Schedule, activate by compliance owner</x:v>
      </x:c>
      <x:c r="H79" s="81" t="str">
        <x:v>STD Administration / Tender Management</x:v>
      </x:c>
      <x:c r="I79" s="81" t="str">
        <x:v>Not fully assessed</x:v>
      </x:c>
      <x:c r="J79" s="81" t="str">
        <x:v>SRC-004; SRC-005</x:v>
      </x:c>
      <x:c r="K79" s="81" t="str">
        <x:v>PPRA page reviewed 17 August 2026; monitor for replacements or updates.</x:v>
      </x:c>
    </x:row>
    <x:row r="80" ht="52" customHeight="1">
      <x:c r="A80" s="86" t="str">
        <x:v>PPRA-17</x:v>
      </x:c>
      <x:c r="B80" s="81" t="str">
        <x:v>PPRA current Standard Tender Documents page</x:v>
      </x:c>
      <x:c r="C80" s="81" t="str">
        <x:v>STD for Management Services</x:v>
      </x:c>
      <x:c r="D80" s="81" t="str">
        <x:v>Use where applicable to the governed requirement and method</x:v>
      </x:c>
      <x:c r="E80" s="81" t="str">
        <x:v>Current regulatory instrument; effective-date/version must be captured</x:v>
      </x:c>
      <x:c r="F80" s="81" t="str">
        <x:v>PPADA ss.9, 58, 70; PPRA Circular No.2/2021</x:v>
      </x:c>
      <x:c r="G80" s="81" t="str">
        <x:v>Download/import, checksum, map to Eighth Schedule, activate by compliance owner</x:v>
      </x:c>
      <x:c r="H80" s="81" t="str">
        <x:v>STD Administration / Tender Management</x:v>
      </x:c>
      <x:c r="I80" s="81" t="str">
        <x:v>Not fully assessed</x:v>
      </x:c>
      <x:c r="J80" s="81" t="str">
        <x:v>SRC-004; SRC-005</x:v>
      </x:c>
      <x:c r="K80" s="81" t="str">
        <x:v>PPRA page reviewed 17 August 2026; monitor for replacements or updates.</x:v>
      </x:c>
    </x:row>
    <x:row r="81" ht="52" customHeight="1">
      <x:c r="A81" s="86" t="str">
        <x:v>PPRA-18</x:v>
      </x:c>
      <x:c r="B81" s="81" t="str">
        <x:v>PPRA current Standard Tender Documents page</x:v>
      </x:c>
      <x:c r="C81" s="81" t="str">
        <x:v>STD for Leasing</x:v>
      </x:c>
      <x:c r="D81" s="81" t="str">
        <x:v>Use where applicable to the governed requirement and method</x:v>
      </x:c>
      <x:c r="E81" s="81" t="str">
        <x:v>Current regulatory instrument; effective-date/version must be captured</x:v>
      </x:c>
      <x:c r="F81" s="81" t="str">
        <x:v>PPADA ss.9, 58, 70; PPRA Circular No.2/2021</x:v>
      </x:c>
      <x:c r="G81" s="81" t="str">
        <x:v>Download/import, checksum, map to Eighth Schedule, activate by compliance owner</x:v>
      </x:c>
      <x:c r="H81" s="81" t="str">
        <x:v>STD Administration / Tender Management</x:v>
      </x:c>
      <x:c r="I81" s="81" t="str">
        <x:v>Not fully assessed</x:v>
      </x:c>
      <x:c r="J81" s="81" t="str">
        <x:v>SRC-004; SRC-005</x:v>
      </x:c>
      <x:c r="K81" s="81" t="str">
        <x:v>PPRA page reviewed 17 August 2026; monitor for replacements or updates.</x:v>
      </x:c>
    </x:row>
    <x:row r="82" ht="52" customHeight="1">
      <x:c r="A82" s="86" t="str">
        <x:v>PPRA-19</x:v>
      </x:c>
      <x:c r="B82" s="81" t="str">
        <x:v>PPRA current Standard Tender Documents page</x:v>
      </x:c>
      <x:c r="C82" s="81" t="str">
        <x:v>STD for Performance-Based Road Maintenance Contracts</x:v>
      </x:c>
      <x:c r="D82" s="81" t="str">
        <x:v>Use where applicable to the governed requirement and method</x:v>
      </x:c>
      <x:c r="E82" s="81" t="str">
        <x:v>Current regulatory instrument; effective-date/version must be captured</x:v>
      </x:c>
      <x:c r="F82" s="81" t="str">
        <x:v>PPADA ss.9, 58, 70; PPRA Circular No.2/2021</x:v>
      </x:c>
      <x:c r="G82" s="81" t="str">
        <x:v>Download/import, checksum, map to Eighth Schedule, activate by compliance owner</x:v>
      </x:c>
      <x:c r="H82" s="81" t="str">
        <x:v>STD Administration / Tender Management</x:v>
      </x:c>
      <x:c r="I82" s="81" t="str">
        <x:v>Not fully assessed</x:v>
      </x:c>
      <x:c r="J82" s="81" t="str">
        <x:v>SRC-004; SRC-005</x:v>
      </x:c>
      <x:c r="K82" s="81" t="str">
        <x:v>PPRA page reviewed 17 August 2026; monitor for replacements or updates.</x:v>
      </x:c>
    </x:row>
    <x:row r="83" ht="52" customHeight="1">
      <x:c r="A83" s="86" t="str">
        <x:v>PPRA-20</x:v>
      </x:c>
      <x:c r="B83" s="81" t="str">
        <x:v>PPRA current Standard Tender Documents page</x:v>
      </x:c>
      <x:c r="C83" s="81" t="str">
        <x:v>STD for Purchase of Immovable Assets &amp; Property</x:v>
      </x:c>
      <x:c r="D83" s="81" t="str">
        <x:v>Use where applicable to the governed requirement and method</x:v>
      </x:c>
      <x:c r="E83" s="81" t="str">
        <x:v>Current regulatory instrument; effective-date/version must be captured</x:v>
      </x:c>
      <x:c r="F83" s="81" t="str">
        <x:v>PPADA ss.9, 58, 70; PPRA Circular No.2/2021</x:v>
      </x:c>
      <x:c r="G83" s="81" t="str">
        <x:v>Download/import, checksum, map to Eighth Schedule, activate by compliance owner</x:v>
      </x:c>
      <x:c r="H83" s="81" t="str">
        <x:v>STD Administration / Tender Management</x:v>
      </x:c>
      <x:c r="I83" s="81" t="str">
        <x:v>Not fully assessed</x:v>
      </x:c>
      <x:c r="J83" s="81" t="str">
        <x:v>SRC-004; SRC-005</x:v>
      </x:c>
      <x:c r="K83" s="81" t="str">
        <x:v>PPRA page reviewed 17 August 2026; monitor for replacements or updates.</x:v>
      </x:c>
    </x:row>
    <x:row r="84" ht="52" customHeight="1">
      <x:c r="A84" s="86" t="str">
        <x:v>PPRA-21</x:v>
      </x:c>
      <x:c r="B84" s="81" t="str">
        <x:v>PPRA current Standard Tender Documents page</x:v>
      </x:c>
      <x:c r="C84" s="81" t="str">
        <x:v>STD for Request for Quotations</x:v>
      </x:c>
      <x:c r="D84" s="81" t="str">
        <x:v>Use where applicable to the governed requirement and method</x:v>
      </x:c>
      <x:c r="E84" s="81" t="str">
        <x:v>Current regulatory instrument; effective-date/version must be captured</x:v>
      </x:c>
      <x:c r="F84" s="81" t="str">
        <x:v>PPADA ss.9, 58, 70; PPRA Circular No.2/2021</x:v>
      </x:c>
      <x:c r="G84" s="81" t="str">
        <x:v>Download/import, checksum, map to Eighth Schedule, activate by compliance owner</x:v>
      </x:c>
      <x:c r="H84" s="81" t="str">
        <x:v>STD Administration / Tender Management</x:v>
      </x:c>
      <x:c r="I84" s="81" t="str">
        <x:v>Not fully assessed</x:v>
      </x:c>
      <x:c r="J84" s="81" t="str">
        <x:v>SRC-004; SRC-005</x:v>
      </x:c>
      <x:c r="K84" s="81" t="str">
        <x:v>PPRA page reviewed 17 August 2026; monitor for replacements or updates.</x:v>
      </x:c>
    </x:row>
    <x:row r="85" ht="52" customHeight="1">
      <x:c r="A85" s="86" t="str">
        <x:v>PPRA-22</x:v>
      </x:c>
      <x:c r="B85" s="81" t="str">
        <x:v>PPRA current Standard Tender Documents page</x:v>
      </x:c>
      <x:c r="C85" s="81" t="str">
        <x:v>Proposal Evaluation Report — Selection of Consultants</x:v>
      </x:c>
      <x:c r="D85" s="81" t="str">
        <x:v>Use where applicable to the governed requirement and method</x:v>
      </x:c>
      <x:c r="E85" s="81" t="str">
        <x:v>Current regulatory instrument; effective-date/version must be captured</x:v>
      </x:c>
      <x:c r="F85" s="81" t="str">
        <x:v>PPADA ss.9, 58, 70; PPRA Circular No.2/2021</x:v>
      </x:c>
      <x:c r="G85" s="81" t="str">
        <x:v>Download/import, checksum, map to Eighth Schedule, activate by compliance owner</x:v>
      </x:c>
      <x:c r="H85" s="81" t="str">
        <x:v>STD Administration / Tender Management</x:v>
      </x:c>
      <x:c r="I85" s="81" t="str">
        <x:v>Not fully assessed</x:v>
      </x:c>
      <x:c r="J85" s="81" t="str">
        <x:v>SRC-004; SRC-005</x:v>
      </x:c>
      <x:c r="K85" s="81" t="str">
        <x:v>PPRA page reviewed 17 August 2026; monitor for replacements or updates.</x:v>
      </x:c>
    </x:row>
    <x:row r="86" ht="52" customHeight="1">
      <x:c r="A86" s="87" t="str">
        <x:v>PPRA-23</x:v>
      </x:c>
      <x:c r="B86" s="82" t="str">
        <x:v>PPRA current Standard Tender Documents page</x:v>
      </x:c>
      <x:c r="C86" s="82" t="str">
        <x:v>Proposal Evaluation Report — Goods and Works</x:v>
      </x:c>
      <x:c r="D86" s="82" t="str">
        <x:v>Use where applicable to the governed requirement and method</x:v>
      </x:c>
      <x:c r="E86" s="82" t="str">
        <x:v>Current regulatory instrument; effective-date/version must be captured</x:v>
      </x:c>
      <x:c r="F86" s="82" t="str">
        <x:v>PPADA ss.9, 58, 70; PPRA Circular No.2/2021</x:v>
      </x:c>
      <x:c r="G86" s="82" t="str">
        <x:v>Download/import, checksum, map to Eighth Schedule, activate by compliance owner</x:v>
      </x:c>
      <x:c r="H86" s="82" t="str">
        <x:v>STD Administration / Tender Management</x:v>
      </x:c>
      <x:c r="I86" s="82" t="str">
        <x:v>Not fully assessed</x:v>
      </x:c>
      <x:c r="J86" s="82" t="str">
        <x:v>SRC-004; SRC-005</x:v>
      </x:c>
      <x:c r="K86" s="82" t="str">
        <x:v>PPRA page reviewed 17 August 2026; monitor for replacements or updates.</x:v>
      </x:c>
    </x:row>
  </x:sheetData>
  <x:mergeCells>
    <x:mergeCell ref="A1:K1"/>
    <x:mergeCell ref="A2:K2"/>
  </x:mergeCells>
  <x:pageMargins left="0.7" right="0.7" top="0.75" bottom="0.75" header="0.3" footer="0.3"/>
  <x:tableParts count="1">
    <x:tablePart xmlns:r="http://schemas.openxmlformats.org/officeDocument/2006/relationships" r:id="R8a3be7141331408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46" hidden="0" customWidth="1"/>
    <x:col min="4" max="4" width="38" hidden="0" customWidth="1"/>
    <x:col min="5" max="5" width="38" hidden="0" customWidth="1"/>
    <x:col min="6" max="6" width="28" hidden="0" customWidth="1"/>
    <x:col min="7" max="7" width="38" hidden="0" customWidth="1"/>
    <x:col min="8" max="8" width="46" hidden="0" customWidth="1"/>
    <x:col min="9" max="9" width="30" hidden="0" customWidth="1"/>
    <x:col min="10" max="10" width="18" hidden="0" customWidth="1"/>
  </x:cols>
  <x:sheetData>
    <x:row r="1" ht="32" customHeight="1">
      <x:c r="A1" s="66" t="str">
        <x:v>Methods &amp; Gates</x:v>
      </x:c>
      <x:c r="B1" s="66"/>
      <x:c r="C1" s="66"/>
      <x:c r="D1" s="66"/>
      <x:c r="E1" s="66"/>
      <x:c r="F1" s="66"/>
      <x:c r="G1" s="66"/>
      <x:c r="H1" s="66"/>
      <x:c r="I1" s="66"/>
      <x:c r="J1" s="66"/>
    </x:row>
    <x:row r="2" ht="30" customHeight="1">
      <x:c r="A2" s="69" t="str">
        <x:v>Method admission is rule-driven and effective-dated. MVP-1 supports Open tender only; every alternative remains fail-closed until its complete statutory procedure is implemented.</x:v>
      </x:c>
      <x:c r="B2" s="69"/>
      <x:c r="C2" s="69"/>
      <x:c r="D2" s="69"/>
      <x:c r="E2" s="69"/>
      <x:c r="F2" s="69"/>
      <x:c r="G2" s="69"/>
      <x:c r="H2" s="69"/>
      <x:c r="I2" s="69"/>
      <x:c r="J2" s="69"/>
    </x:row>
    <x:row r="4" ht="34" customHeight="1">
      <x:c r="A4" s="72" t="str">
        <x:v>Method ID</x:v>
      </x:c>
      <x:c r="B4" s="72" t="str">
        <x:v>Procurement Method</x:v>
      </x:c>
      <x:c r="C4" s="72" t="str">
        <x:v>Admission Rule</x:v>
      </x:c>
      <x:c r="D4" s="72" t="str">
        <x:v>Trigger / Preconditions</x:v>
      </x:c>
      <x:c r="E4" s="72" t="str">
        <x:v>Primary Authority Pattern</x:v>
      </x:c>
      <x:c r="F4" s="72" t="str">
        <x:v>Legal / Threshold Source</x:v>
      </x:c>
      <x:c r="G4" s="72" t="str">
        <x:v>Mandatory Records</x:v>
      </x:c>
      <x:c r="H4" s="72" t="str">
        <x:v>KenTender Gate</x:v>
      </x:c>
      <x:c r="I4" s="72" t="str">
        <x:v>Release Treatment</x:v>
      </x:c>
      <x:c r="J4" s="72" t="str">
        <x:v>Source ID(s)</x:v>
      </x:c>
    </x:row>
    <x:row r="5" ht="68" customHeight="1">
      <x:c r="A5" s="85" t="str">
        <x:v>MTH-01</x:v>
      </x:c>
      <x:c r="B5" s="80" t="str">
        <x:v>Open tender — national/international</x:v>
      </x:c>
      <x:c r="C5" s="80" t="str">
        <x:v>Default competitive method; international/national conditions and advertising rules apply.</x:v>
      </x:c>
      <x:c r="D5" s="80" t="str">
        <x:v>Requirement planned; funds available; no justified exception method selected.</x:v>
      </x:c>
      <x:c r="E5" s="80" t="str">
        <x:v>Head of User Department initiates in consultation with Accounting Officer; Accounting Officer awards/signs as prescribed.</x:v>
      </x:c>
      <x:c r="F5" s="80" t="str">
        <x:v>Current Second Schedule plus ss.89/96 and rr.85–86</x:v>
      </x:c>
      <x:c r="G5" s="80" t="str">
        <x:v>Applicable open-tender STD; invitation; evaluation report; professional opinion</x:v>
      </x:c>
      <x:c r="H5" s="80" t="str">
        <x:v>Admit only with active catalogue; validate minimum preparation period and required publication channels.</x:v>
      </x:c>
      <x:c r="I5" s="80" t="str">
        <x:v>MVP-1 supported method</x:v>
      </x:c>
      <x:c r="J5" s="80" t="str">
        <x:v>SRC-002; SRC-003; SRC-004</x:v>
      </x:c>
    </x:row>
    <x:row r="6" ht="68" customHeight="1">
      <x:c r="A6" s="86" t="str">
        <x:v>MTH-02</x:v>
      </x:c>
      <x:c r="B6" s="81" t="str">
        <x:v>Two-stage tendering</x:v>
      </x:c>
      <x:c r="C6" s="81" t="str">
        <x:v>Only where statutory conditions for two-stage tendering are met.</x:v>
      </x:c>
      <x:c r="D6" s="81" t="str">
        <x:v>Incomplete technical solution/specification context justifies two stages.</x:v>
      </x:c>
      <x:c r="E6" s="81" t="str">
        <x:v>HoUD/AO initiation; AO award/signature per Second Schedule.</x:v>
      </x:c>
      <x:c r="F6" s="81" t="str">
        <x:v>s.99; r.87; Second Schedule</x:v>
      </x:c>
      <x:c r="G6" s="81" t="str">
        <x:v>Two-stage documents, stage reports and final tender package</x:v>
      </x:c>
      <x:c r="H6" s="81" t="str">
        <x:v>Separate sealed stages; seven-day minimum at each stage under current r.87; preserve stage decisions.</x:v>
      </x:c>
      <x:c r="I6" s="81" t="str">
        <x:v>MVP-2 — fail closed in MVP-1</x:v>
      </x:c>
      <x:c r="J6" s="81" t="str">
        <x:v>SRC-002; SRC-003</x:v>
      </x:c>
    </x:row>
    <x:row r="7" ht="68" customHeight="1">
      <x:c r="A7" s="86" t="str">
        <x:v>MTH-03</x:v>
      </x:c>
      <x:c r="B7" s="81" t="str">
        <x:v>Design competition</x:v>
      </x:c>
      <x:c r="C7" s="81" t="str">
        <x:v>Only where statutory conditions for design competition apply.</x:v>
      </x:c>
      <x:c r="D7" s="81" t="str">
        <x:v>Design outcome is sought and competition conditions are satisfied.</x:v>
      </x:c>
      <x:c r="E7" s="81" t="str">
        <x:v>HoUD/AO initiation; AO award/signature per Second Schedule.</x:v>
      </x:c>
      <x:c r="F7" s="81" t="str">
        <x:v>s.100; applicable Regulations; Second Schedule</x:v>
      </x:c>
      <x:c r="G7" s="81" t="str">
        <x:v>Competition brief, jury/evaluation record and award decision</x:v>
      </x:c>
      <x:c r="H7" s="81" t="str">
        <x:v>Method-specific workflow and appointed evaluation body; no free-text substitution.</x:v>
      </x:c>
      <x:c r="I7" s="81" t="str">
        <x:v>MVP-2 — fail closed in MVP-1</x:v>
      </x:c>
      <x:c r="J7" s="81" t="str">
        <x:v>SRC-002; SRC-003</x:v>
      </x:c>
    </x:row>
    <x:row r="8" ht="68" customHeight="1">
      <x:c r="A8" s="86" t="str">
        <x:v>MTH-04</x:v>
      </x:c>
      <x:c r="B8" s="81" t="str">
        <x:v>Restricted tendering</x:v>
      </x:c>
      <x:c r="C8" s="81" t="str">
        <x:v>Only if one of s.102 conditions is evidenced; current thresholds/procedure apply.</x:v>
      </x:c>
      <x:c r="D8" s="81" t="str">
        <x:v>Prequalification/limited suppliers or other statutory ground proven.</x:v>
      </x:c>
      <x:c r="E8" s="81" t="str">
        <x:v>Accounting Officer approves/awards; HoUD initiates in consultation with AO.</x:v>
      </x:c>
      <x:c r="F8" s="81" t="str">
        <x:v>s.102; r.89; Second Schedule</x:v>
      </x:c>
      <x:c r="G8" s="81" t="str">
        <x:v>Grounds, supplier-list evidence, invitation set, evaluation/professional opinion</x:v>
      </x:c>
      <x:c r="H8" s="81" t="str">
        <x:v>Ground-specific evidence; invite minimum/all known suppliers as applicable; website/State Portal notice where required.</x:v>
      </x:c>
      <x:c r="I8" s="81" t="str">
        <x:v>MVP-2 — fail closed in MVP-1</x:v>
      </x:c>
      <x:c r="J8" s="81" t="str">
        <x:v>SRC-002; SRC-003</x:v>
      </x:c>
    </x:row>
    <x:row r="9" ht="68" customHeight="1">
      <x:c r="A9" s="86" t="str">
        <x:v>MTH-05</x:v>
      </x:c>
      <x:c r="B9" s="81" t="str">
        <x:v>Direct procurement</x:v>
      </x:c>
      <x:c r="C9" s="81" t="str">
        <x:v>Only if s.103 conditions are satisfied; non-discriminatory; market price and reporting controls apply.</x:v>
      </x:c>
      <x:c r="D9" s="81" t="str">
        <x:v>Sole source, emergency/compatibility or other statutory condition proven.</x:v>
      </x:c>
      <x:c r="E9" s="81" t="str">
        <x:v>Accounting Officer records reasons and decides; Procurement Function negotiates/processes.</x:v>
      </x:c>
      <x:c r="F9" s="81" t="str">
        <x:v>ss.103–104; r.90; Second Schedule</x:v>
      </x:c>
      <x:c r="G9" s="81" t="str">
        <x:v>Written reasons, negotiation record, market-price evidence, award/report and written contract</x:v>
      </x:c>
      <x:c r="H9" s="81" t="str">
        <x:v>Condition-specific gate; AO approval; PPRA report timer for reportable value; no “direct” free-text shortcut.</x:v>
      </x:c>
      <x:c r="I9" s="81" t="str">
        <x:v>MVP-2 — fail closed in MVP-1</x:v>
      </x:c>
      <x:c r="J9" s="81" t="str">
        <x:v>SRC-002; SRC-003</x:v>
      </x:c>
    </x:row>
    <x:row r="10" ht="68" customHeight="1">
      <x:c r="A10" s="86" t="str">
        <x:v>MTH-06</x:v>
      </x:c>
      <x:c r="B10" s="81" t="str">
        <x:v>Request for quotations</x:v>
      </x:c>
      <x:c r="C10" s="81" t="str">
        <x:v>Use only within current Second Schedule threshold and rotation/competition rules.</x:v>
      </x:c>
      <x:c r="D10" s="81" t="str">
        <x:v>Standard goods/works/services and threshold/classification permit RFQ.</x:v>
      </x:c>
      <x:c r="E10" s="81" t="str">
        <x:v>AO or written delegate appoints committees/awards as allowed.</x:v>
      </x:c>
      <x:c r="F10" s="81" t="str">
        <x:v>ss.105–106; r.91; Second Schedule</x:v>
      </x:c>
      <x:c r="G10" s="81" t="str">
        <x:v>RFQ form, invited suppliers, quotations, opening/evaluation, market survey, professional opinion</x:v>
      </x:c>
      <x:c r="H10" s="81" t="str">
        <x:v>Threshold catalogue; fair rotation; committee appointments; minimum required quotations and audit trail.</x:v>
      </x:c>
      <x:c r="I10" s="81" t="str">
        <x:v>MVP-2 — fail closed in MVP-1</x:v>
      </x:c>
      <x:c r="J10" s="81" t="str">
        <x:v>SRC-002; SRC-003; SRC-004</x:v>
      </x:c>
    </x:row>
    <x:row r="11" ht="68" customHeight="1">
      <x:c r="A11" s="86" t="str">
        <x:v>MTH-07</x:v>
      </x:c>
      <x:c r="B11" s="81" t="str">
        <x:v>Low value procurement</x:v>
      </x:c>
      <x:c r="C11" s="81" t="str">
        <x:v>Only where current threshold and s.107/r.92 conditions are met; not to avoid competition.</x:v>
      </x:c>
      <x:c r="D11" s="81" t="str">
        <x:v>Per-item/FY threshold; no benefit from RFQ/other method; HoPF recommends after market survey.</x:v>
      </x:c>
      <x:c r="E11" s="81" t="str">
        <x:v>Accounting Officer approves or valid delegate; HoPF may be delegated procurement under r.93.</x:v>
      </x:c>
      <x:c r="F11" s="81" t="str">
        <x:v>s.107; rr.92–93; Second Schedule</x:v>
      </x:c>
      <x:c r="G11" s="81" t="str">
        <x:v>Market survey, approval/delegation, original KRA ETR, stores acceptance</x:v>
      </x:c>
      <x:c r="H11" s="81" t="str">
        <x:v>Per-item/FY aggregation check; threshold version; original receipt; take-on-charge before issue.</x:v>
      </x:c>
      <x:c r="I11" s="81" t="str">
        <x:v>MVP-2 — fail closed in MVP-1</x:v>
      </x:c>
      <x:c r="J11" s="81" t="str">
        <x:v>SRC-002; SRC-003</x:v>
      </x:c>
    </x:row>
    <x:row r="12" ht="68" customHeight="1">
      <x:c r="A12" s="86" t="str">
        <x:v>MTH-08</x:v>
      </x:c>
      <x:c r="B12" s="81" t="str">
        <x:v>Force account</x:v>
      </x:c>
      <x:c r="C12" s="81" t="str">
        <x:v>Only if s.109 conditions and current Second Schedule allow; detailed proposal and AO approval required.</x:v>
      </x:c>
      <x:c r="D12" s="81" t="str">
        <x:v>Internal capacity/economy case established; activity included in plan.</x:v>
      </x:c>
      <x:c r="E12" s="81" t="str">
        <x:v>User Department proposes; HoPF reviews; AO approves.</x:v>
      </x:c>
      <x:c r="F12" s="81" t="str">
        <x:v>s.109; rr.94–98; Second Schedule</x:v>
      </x:c>
      <x:c r="G12" s="81" t="str">
        <x:v>Proposal, capacity assessment, BoQ/drawings, cost/market analysis and approval</x:v>
      </x:c>
      <x:c r="H12" s="81" t="str">
        <x:v>Structured applicability checklist and internal-resource plan; inputs procured lawfully.</x:v>
      </x:c>
      <x:c r="I12" s="81" t="str">
        <x:v>MVP-2 — fail closed in MVP-1</x:v>
      </x:c>
      <x:c r="J12" s="81" t="str">
        <x:v>SRC-002; SRC-003</x:v>
      </x:c>
    </x:row>
    <x:row r="13" ht="68" customHeight="1">
      <x:c r="A13" s="86" t="str">
        <x:v>MTH-09</x:v>
      </x:c>
      <x:c r="B13" s="81" t="str">
        <x:v>Electronic reverse auction</x:v>
      </x:c>
      <x:c r="C13" s="81" t="str">
        <x:v>Only where s.110 conditions apply and e-system supports the controlled auction.</x:v>
      </x:c>
      <x:c r="D13" s="81" t="str">
        <x:v>Standardized requirement and auction rules approved.</x:v>
      </x:c>
      <x:c r="E13" s="81" t="str">
        <x:v>HoUD/AO initiation; AO award.</x:v>
      </x:c>
      <x:c r="F13" s="81" t="str">
        <x:v>s.110; rr.99–101; Second Schedule</x:v>
      </x:c>
      <x:c r="G13" s="81" t="str">
        <x:v>Auction rules, invitations, bid log and result</x:v>
      </x:c>
      <x:c r="H13" s="81" t="str">
        <x:v>Tamper-evident event log, time controls and automatic ranking per published rules.</x:v>
      </x:c>
      <x:c r="I13" s="81" t="str">
        <x:v>MVP-2 — fail closed in MVP-1</x:v>
      </x:c>
      <x:c r="J13" s="81" t="str">
        <x:v>SRC-002; SRC-003</x:v>
      </x:c>
    </x:row>
    <x:row r="14" ht="68" customHeight="1">
      <x:c r="A14" s="86" t="str">
        <x:v>MTH-10</x:v>
      </x:c>
      <x:c r="B14" s="81" t="str">
        <x:v>Competitive negotiations</x:v>
      </x:c>
      <x:c r="C14" s="81" t="str">
        <x:v>Only under statutory conditions; preserve staged negotiation/evaluation record.</x:v>
      </x:c>
      <x:c r="D14" s="81" t="str">
        <x:v>s.131 conditions satisfied.</x:v>
      </x:c>
      <x:c r="E14" s="81" t="str">
        <x:v>Accounting Officer with appointed committee/procurement function.</x:v>
      </x:c>
      <x:c r="F14" s="81" t="str">
        <x:v>s.131; applicable Regulations; Second Schedule</x:v>
      </x:c>
      <x:c r="G14" s="81" t="str">
        <x:v>Justification, negotiation plan/minutes, revised offers and evaluation report</x:v>
      </x:c>
      <x:c r="H14" s="81" t="str">
        <x:v>Authorized invitations, sealed rounds and immutable negotiation history.</x:v>
      </x:c>
      <x:c r="I14" s="81" t="str">
        <x:v>MVP-2 — fail closed in MVP-1</x:v>
      </x:c>
      <x:c r="J14" s="81" t="str">
        <x:v>SRC-002; SRC-003</x:v>
      </x:c>
    </x:row>
    <x:row r="15" ht="68" customHeight="1">
      <x:c r="A15" s="86" t="str">
        <x:v>MTH-11</x:v>
      </x:c>
      <x:c r="B15" s="81" t="str">
        <x:v>Framework agreement / framework contract</x:v>
      </x:c>
      <x:c r="C15" s="81" t="str">
        <x:v>Repeated/continuous/urgent needs and statutory conditions; current thresholds apply.</x:v>
      </x:c>
      <x:c r="D15" s="81" t="str">
        <x:v>Suitable recurring requirement and approved framework strategy.</x:v>
      </x:c>
      <x:c r="E15" s="81" t="str">
        <x:v>Accounting Officer enters framework; HoPF reports usage.</x:v>
      </x:c>
      <x:c r="F15" s="81" t="str">
        <x:v>s.114; rr.102–107; Second Schedule</x:v>
      </x:c>
      <x:c r="G15" s="81" t="str">
        <x:v>Framework STD, awards, call-off orders and quarterly usage analysis</x:v>
      </x:c>
      <x:c r="H15" s="81" t="str">
        <x:v>Ceiling/term/supplier/call-off controls; no call-off outside scope/term; quarterly report.</x:v>
      </x:c>
      <x:c r="I15" s="81" t="str">
        <x:v>MVP-2 — fail closed in MVP-1</x:v>
      </x:c>
      <x:c r="J15" s="81" t="str">
        <x:v>SRC-002; SRC-003; SRC-004</x:v>
      </x:c>
    </x:row>
    <x:row r="16" ht="68" customHeight="1">
      <x:c r="A16" s="86" t="str">
        <x:v>MTH-12</x:v>
      </x:c>
      <x:c r="B16" s="81" t="str">
        <x:v>Specially permitted procedure</x:v>
      </x:c>
      <x:c r="C16" s="81" t="str">
        <x:v>Only with unique written justification and Cabinet Secretary approval.</x:v>
      </x:c>
      <x:c r="D16" s="81" t="str">
        <x:v>No ordinary method adequately addresses the unique procurement.</x:v>
      </x:c>
      <x:c r="E16" s="81" t="str">
        <x:v>Accounting Officer justifies; Cabinet Secretary approves.</x:v>
      </x:c>
      <x:c r="F16" s="81" t="str">
        <x:v>s.114A; applicable Regulations</x:v>
      </x:c>
      <x:c r="G16" s="81" t="str">
        <x:v>Written justification, approved plan, tender document and Cabinet Secretary approval</x:v>
      </x:c>
      <x:c r="H16" s="81" t="str">
        <x:v>No activation without authenticated external approval; dedicated procedure snapshot.</x:v>
      </x:c>
      <x:c r="I16" s="81" t="str">
        <x:v>MVP-2 — fail closed in MVP-1</x:v>
      </x:c>
      <x:c r="J16" s="81" t="str">
        <x:v>SRC-002; SRC-003</x:v>
      </x:c>
    </x:row>
    <x:row r="17" ht="68" customHeight="1">
      <x:c r="A17" s="86" t="str">
        <x:v>MTH-13</x:v>
      </x:c>
      <x:c r="B17" s="81" t="str">
        <x:v>Community participation</x:v>
      </x:c>
      <x:c r="C17" s="81" t="str">
        <x:v>Only if statutory socio-economic/value/sustainability conditions and current threshold apply.</x:v>
      </x:c>
      <x:c r="D17" s="81" t="str">
        <x:v>Beneficiary community participation is justified.</x:v>
      </x:c>
      <x:c r="E17" s="81" t="str">
        <x:v>Accounting Officer; User Department; Procurement Function.</x:v>
      </x:c>
      <x:c r="F17" s="81" t="str">
        <x:v>s.92(m); r.108; Second Schedule</x:v>
      </x:c>
      <x:c r="G17" s="81" t="str">
        <x:v>Community proposal, safeguards, agreement and records</x:v>
      </x:c>
      <x:c r="H17" s="81" t="str">
        <x:v>Applicability/threshold gate; participant register; transparent pricing and outputs.</x:v>
      </x:c>
      <x:c r="I17" s="81" t="str">
        <x:v>MVP-2 — fail closed in MVP-1</x:v>
      </x:c>
      <x:c r="J17" s="81" t="str">
        <x:v>SRC-002; SRC-003</x:v>
      </x:c>
    </x:row>
    <x:row r="18" ht="68" customHeight="1">
      <x:c r="A18" s="87" t="str">
        <x:v>MTH-14</x:v>
      </x:c>
      <x:c r="B18" s="82" t="str">
        <x:v>Request for proposals / consultancy selection</x:v>
      </x:c>
      <x:c r="C18" s="82" t="str">
        <x:v>Use statutory consultancy procedures and selection method appropriate to assignment.</x:v>
      </x:c>
      <x:c r="D18" s="82" t="str">
        <x:v>Consultancy requirement with approved ToR and estimate.</x:v>
      </x:c>
      <x:c r="E18" s="82" t="str">
        <x:v>Accounting Officer; Head of Procurement Function; evaluation committee.</x:v>
      </x:c>
      <x:c r="F18" s="82" t="str">
        <x:v>ss.115–133; rr.113–130; Second Schedule</x:v>
      </x:c>
      <x:c r="G18" s="82" t="str">
        <x:v>RFP/EOI, ToR, technical/financial proposals, evaluation, negotiation and professional opinion</x:v>
      </x:c>
      <x:c r="H18" s="82" t="str">
        <x:v>Separate technical/financial seals; selection-method logic; budget ceiling and negotiation controls.</x:v>
      </x:c>
      <x:c r="I18" s="82" t="str">
        <x:v>MVP-2 unless explicitly released</x:v>
      </x:c>
      <x:c r="J18" s="82" t="str">
        <x:v>SRC-002; SRC-003; SRC-004</x:v>
      </x:c>
    </x:row>
  </x:sheetData>
  <x:mergeCells>
    <x:mergeCell ref="A1:J1"/>
    <x:mergeCell ref="A2:J2"/>
  </x:mergeCells>
  <x:pageMargins left="0.7" right="0.7" top="0.75" bottom="0.75" header="0.3" footer="0.3"/>
  <x:tableParts count="1">
    <x:tablePart xmlns:r="http://schemas.openxmlformats.org/officeDocument/2006/relationships" r:id="Raac4cc849a134e5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28" hidden="0" customWidth="1"/>
    <x:col min="4" max="4" width="50" hidden="0" customWidth="1"/>
    <x:col min="5" max="5" width="14" hidden="0" customWidth="1"/>
    <x:col min="6" max="6" width="36" hidden="0" customWidth="1"/>
    <x:col min="7" max="7" width="34" hidden="0" customWidth="1"/>
    <x:col min="8" max="8" width="50" hidden="0" customWidth="1"/>
    <x:col min="9" max="9" width="32" hidden="0" customWidth="1"/>
    <x:col min="10" max="10" width="22" hidden="0" customWidth="1"/>
    <x:col min="11" max="11" width="26" hidden="0" customWidth="1"/>
    <x:col min="12" max="12" width="28" hidden="0" customWidth="1"/>
  </x:cols>
  <x:sheetData>
    <x:row r="1" ht="32" customHeight="1">
      <x:c r="A1" s="66" t="str">
        <x:v>Gap Register</x:v>
      </x:c>
      <x:c r="B1" s="66"/>
      <x:c r="C1" s="66"/>
      <x:c r="D1" s="66"/>
      <x:c r="E1" s="66"/>
      <x:c r="F1" s="66"/>
      <x:c r="G1" s="66"/>
      <x:c r="H1" s="66"/>
      <x:c r="I1" s="66"/>
      <x:c r="J1" s="66"/>
      <x:c r="K1" s="66"/>
      <x:c r="L1" s="66"/>
    </x:row>
    <x:row r="2" ht="30" customHeight="1">
      <x:c r="A2" s="69" t="str">
        <x:v>Release-oriented control gaps derived from the statutory matrix and current KenTender evidence. Severity is legal/product risk; disposition controls what may ship.</x:v>
      </x:c>
      <x:c r="B2" s="69"/>
      <x:c r="C2" s="69"/>
      <x:c r="D2" s="69"/>
      <x:c r="E2" s="69"/>
      <x:c r="F2" s="69"/>
      <x:c r="G2" s="69"/>
      <x:c r="H2" s="69"/>
      <x:c r="I2" s="69"/>
      <x:c r="J2" s="69"/>
      <x:c r="K2" s="69"/>
      <x:c r="L2" s="69"/>
    </x:row>
    <x:row r="4" ht="34" customHeight="1">
      <x:c r="A4" s="72" t="str">
        <x:v>Gap ID</x:v>
      </x:c>
      <x:c r="B4" s="72" t="str">
        <x:v>Related Control IDs</x:v>
      </x:c>
      <x:c r="C4" s="72" t="str">
        <x:v>Affected Module(s)</x:v>
      </x:c>
      <x:c r="D4" s="72" t="str">
        <x:v>Finding</x:v>
      </x:c>
      <x:c r="E4" s="72" t="str">
        <x:v>Severity</x:v>
      </x:c>
      <x:c r="F4" s="72" t="str">
        <x:v>Risk</x:v>
      </x:c>
      <x:c r="G4" s="72" t="str">
        <x:v>MVP Disposition</x:v>
      </x:c>
      <x:c r="H4" s="72" t="str">
        <x:v>Required Correction</x:v>
      </x:c>
      <x:c r="I4" s="72" t="str">
        <x:v>Governing Revision Ledger</x:v>
      </x:c>
      <x:c r="J4" s="72" t="str">
        <x:v>Status</x:v>
      </x:c>
      <x:c r="K4" s="72" t="str">
        <x:v>Owner</x:v>
      </x:c>
      <x:c r="L4" s="72" t="str">
        <x:v>Evidence / Source</x:v>
      </x:c>
    </x:row>
    <x:row r="5" ht="72" customHeight="1">
      <x:c r="A5" s="85" t="str">
        <x:v>GAP-001</x:v>
      </x:c>
      <x:c r="B5" s="80" t="str">
        <x:v>CTL-001, CTL-002, CTL-110</x:v>
      </x:c>
      <x:c r="C5" s="80" t="str">
        <x:v>All modules</x:v>
      </x:c>
      <x:c r="D5" s="80" t="str">
        <x:v>No single statutory-source-first control baseline governed prior module design; legacy packs mixed law, product assumptions and UI behaviour.</x:v>
      </x:c>
      <x:c r="E5" s="80" t="str">
        <x:v>Critical</x:v>
      </x:c>
      <x:c r="F5" s="80" t="str">
        <x:v>Cross-module legal/compliance defect</x:v>
      </x:c>
      <x:c r="G5" s="80" t="str">
        <x:v>Must close before MVP-1 release</x:v>
      </x:c>
      <x:c r="H5" s="80" t="str">
        <x:v>Adopt this matrix; require control IDs in every integrated change unit; retire legacy packs as authority.</x:v>
      </x:c>
      <x:c r="I5" s="80" t="str">
        <x:v>Statutory Matrix + all module ledgers</x:v>
      </x:c>
      <x:c r="J5" s="80" t="str">
        <x:v>Open</x:v>
      </x:c>
      <x:c r="K5" s="80" t="str">
        <x:v>Legal Compliance Owner / Product Owner</x:v>
      </x:c>
      <x:c r="L5" s="80" t="str">
        <x:v>SRC-002; SRC-003; SRC-010</x:v>
      </x:c>
    </x:row>
    <x:row r="6" ht="72" customHeight="1">
      <x:c r="A6" s="86" t="str">
        <x:v>GAP-002</x:v>
      </x:c>
      <x:c r="B6" s="81" t="str">
        <x:v>CTL-003, CTL-004</x:v>
      </x:c>
      <x:c r="C6" s="81" t="str">
        <x:v>All modules</x:v>
      </x:c>
      <x:c r="D6" s="81" t="str">
        <x:v>Statutory authority, delegation, operational assignment and read-only support were conflated; generic role routing hid tasks and blocked legitimate neutral access.</x:v>
      </x:c>
      <x:c r="E6" s="81" t="str">
        <x:v>Critical</x:v>
      </x:c>
      <x:c r="F6" s="81" t="str">
        <x:v>Unauthorized decisions or inaccessible lawful work</x:v>
      </x:c>
      <x:c r="G6" s="81" t="str">
        <x:v>Must close before MVP-1 release</x:v>
      </x:c>
      <x:c r="H6" s="81" t="str">
        <x:v>Implement Shared Authorization ledger and named/queue task routing.</x:v>
      </x:c>
      <x:c r="I6" s="81" t="str">
        <x:v>Shared Authorization Ledger</x:v>
      </x:c>
      <x:c r="J6" s="81" t="str">
        <x:v>Approved documentation; implementation pending</x:v>
      </x:c>
      <x:c r="K6" s="81" t="str">
        <x:v>Platform Owner</x:v>
      </x:c>
      <x:c r="L6" s="81" t="str">
        <x:v>SRC-007</x:v>
      </x:c>
    </x:row>
    <x:row r="7" ht="72" customHeight="1">
      <x:c r="A7" s="86" t="str">
        <x:v>GAP-003</x:v>
      </x:c>
      <x:c r="B7" s="81" t="str">
        <x:v>CTL-010, CTL-020, CTL-021</x:v>
      </x:c>
      <x:c r="C7" s="81" t="str">
        <x:v>Departmental Needs; Procurement Planning; Procurement Requisitions; Tender Initiation</x:v>
      </x:c>
      <x:c r="D7" s="81" t="str">
        <x:v>The legacy Demand capability conflates a pre-planning Departmental Need with the post-plan statutory Procurement Requisition.</x:v>
      </x:c>
      <x:c r="E7" s="81" t="str">
        <x:v>Critical</x:v>
      </x:c>
      <x:c r="F7" s="81" t="str">
        <x:v>Duplicate or legally deficient initiation record</x:v>
      </x:c>
      <x:c r="G7" s="81" t="str">
        <x:v>Must close before MVP-1 release</x:v>
      </x:c>
      <x:c r="H7" s="81" t="str">
        <x:v>Retain simple intake as Departmental Needs; implement a separate Procurement Requisitions module initiated only from an eligible Approved Plan Item; remove any second requisition from Tender Initiation.</x:v>
      </x:c>
      <x:c r="I7" s="81" t="str">
        <x:v>Departmental Needs + Procurement Requisitions Ledgers</x:v>
      </x:c>
      <x:c r="J7" s="81" t="str">
        <x:v>Boundary corrected in Matrix v1.1; implementation pending</x:v>
      </x:c>
      <x:c r="K7" s="81" t="str">
        <x:v>Departmental Needs / Procurement Requisitions Owners</x:v>
      </x:c>
      <x:c r="L7" s="81" t="str">
        <x:v>SRC-003; SRC-008</x:v>
      </x:c>
    </x:row>
    <x:row r="8" ht="72" customHeight="1">
      <x:c r="A8" s="86" t="str">
        <x:v>GAP-004</x:v>
      </x:c>
      <x:c r="B8" s="81" t="str">
        <x:v>CTL-022, CTL-023</x:v>
      </x:c>
      <x:c r="C8" s="81" t="str">
        <x:v>Procurement Requisitions; Tender Configuration</x:v>
      </x:c>
      <x:c r="D8" s="81" t="str">
        <x:v>The formal Procurement Requisition cannot yet reliably capture typed quantities, specifications, BoQs, drawings, ToR, feasibility/ESIA and propagate exact versions downstream.</x:v>
      </x:c>
      <x:c r="E8" s="81" t="str">
        <x:v>Critical</x:v>
      </x:c>
      <x:c r="F8" s="81" t="str">
        <x:v>Tender prepared from incomplete or retyped requirements</x:v>
      </x:c>
      <x:c r="G8" s="81" t="str">
        <x:v>Must close before tender-capable MVP-1 release</x:v>
      </x:c>
      <x:c r="H8" s="81" t="str">
        <x:v>Implement requirement-type schemas and immutable downstream lineage.</x:v>
      </x:c>
      <x:c r="I8" s="81" t="str">
        <x:v>Procurement Requisitions Ledger + Tender Initiation Ledger</x:v>
      </x:c>
      <x:c r="J8" s="81" t="str">
        <x:v>Open</x:v>
      </x:c>
      <x:c r="K8" s="81" t="str">
        <x:v>Procurement Requisitions / Tender Owners</x:v>
      </x:c>
      <x:c r="L8" s="81" t="str">
        <x:v>SRC-003; SRC-008</x:v>
      </x:c>
    </x:row>
    <x:row r="9" ht="72" customHeight="1">
      <x:c r="A9" s="86" t="str">
        <x:v>GAP-005</x:v>
      </x:c>
      <x:c r="B9" s="81" t="str">
        <x:v>CTL-011, CTL-012</x:v>
      </x:c>
      <x:c r="C9" s="81" t="str">
        <x:v>Procurement Planning</x:v>
      </x:c>
      <x:c r="D9" s="81" t="str">
        <x:v>Current Plan/Plan Item model has not been proved against all r.41 and Third Schedule fields, including planned/actual lifecycle dates and status.</x:v>
      </x:c>
      <x:c r="E9" s="81" t="str">
        <x:v>Critical</x:v>
      </x:c>
      <x:c r="F9" s="81" t="str">
        <x:v>Non-prescribed annual plan and incomplete reporting</x:v>
      </x:c>
      <x:c r="G9" s="81" t="str">
        <x:v>Must close before MVP-1 release</x:v>
      </x:c>
      <x:c r="H9" s="81" t="str">
        <x:v>Create field-level Third Schedule crosswalk and revise Planning ledger/data contract.</x:v>
      </x:c>
      <x:c r="I9" s="81" t="str">
        <x:v>Procurement Planning Revision Ledger</x:v>
      </x:c>
      <x:c r="J9" s="81" t="str">
        <x:v>Open statutory reconciliation</x:v>
      </x:c>
      <x:c r="K9" s="81" t="str">
        <x:v>Planning Owner</x:v>
      </x:c>
      <x:c r="L9" s="81" t="str">
        <x:v>SRC-003; SRC-009</x:v>
      </x:c>
    </x:row>
    <x:row r="10" ht="72" customHeight="1">
      <x:c r="A10" s="86" t="str">
        <x:v>GAP-006</x:v>
      </x:c>
      <x:c r="B10" s="81" t="str">
        <x:v>CTL-015</x:v>
      </x:c>
      <x:c r="C10" s="81" t="str">
        <x:v>Procurement Planning; Shared Authorization</x:v>
      </x:c>
      <x:c r="D10" s="81" t="str">
        <x:v>Plan approval was modeled around Head of Procurement in places; law requires the applicable CS/CEC/Board or similar authority for the consolidated plan.</x:v>
      </x:c>
      <x:c r="E10" s="81" t="str">
        <x:v>Critical</x:v>
      </x:c>
      <x:c r="F10" s="81" t="str">
        <x:v>Plan approved by wrong actor</x:v>
      </x:c>
      <x:c r="G10" s="81" t="str">
        <x:v>Must close before MVP-1 release</x:v>
      </x:c>
      <x:c r="H10" s="81" t="str">
        <x:v>Configure authority by PE legal type; preserve AO preparation role.</x:v>
      </x:c>
      <x:c r="I10" s="81" t="str">
        <x:v>Planning + Shared Authorization Ledgers</x:v>
      </x:c>
      <x:c r="J10" s="81" t="str">
        <x:v>Open</x:v>
      </x:c>
      <x:c r="K10" s="81" t="str">
        <x:v>Planning / Authorization Owners</x:v>
      </x:c>
      <x:c r="L10" s="81" t="str">
        <x:v>SRC-002; SRC-003; SRC-007</x:v>
      </x:c>
    </x:row>
    <x:row r="11" ht="72" customHeight="1">
      <x:c r="A11" s="86" t="str">
        <x:v>GAP-007</x:v>
      </x:c>
      <x:c r="B11" s="81" t="str">
        <x:v>CTL-016, CTL-041, CTL-063</x:v>
      </x:c>
      <x:c r="C11" s="81" t="str">
        <x:v>Planning; Tender Publication; Awards</x:v>
      </x:c>
      <x:c r="D11" s="81" t="str">
        <x:v>“Publish” has been used ambiguously for annual plan upload, tender opportunity release and award publication.</x:v>
      </x:c>
      <x:c r="E11" s="81" t="str">
        <x:v>High</x:v>
      </x:c>
      <x:c r="F11" s="81" t="str">
        <x:v>Wrong business consequence and user confusion</x:v>
      </x:c>
      <x:c r="G11" s="81" t="str">
        <x:v>Must close before MVP-1 release</x:v>
      </x:c>
      <x:c r="H11" s="81" t="str">
        <x:v>Use explicit action labels and independent states/receipts for each publication type.</x:v>
      </x:c>
      <x:c r="I11" s="81" t="str">
        <x:v>Planning + Tender + Awards Ledgers</x:v>
      </x:c>
      <x:c r="J11" s="81" t="str">
        <x:v>Partially corrected in Planning</x:v>
      </x:c>
      <x:c r="K11" s="81" t="str">
        <x:v>Product Owner</x:v>
      </x:c>
      <x:c r="L11" s="81" t="str">
        <x:v>SRC-002; SRC-003; SRC-009</x:v>
      </x:c>
    </x:row>
    <x:row r="12" ht="72" customHeight="1">
      <x:c r="A12" s="86" t="str">
        <x:v>GAP-008</x:v>
      </x:c>
      <x:c r="B12" s="81" t="str">
        <x:v>CTL-025, CTL-026</x:v>
      </x:c>
      <x:c r="C12" s="81" t="str">
        <x:v>Budget; Procurement Planning; Procurement Requisitions; Awards</x:v>
      </x:c>
      <x:c r="D12" s="81" t="str">
        <x:v>Finance controls exist, but Budget Officer authority, assignment, reservation timing and reservation-to-commitment conversion are incomplete/ambiguous.</x:v>
      </x:c>
      <x:c r="E12" s="81" t="str">
        <x:v>Critical</x:v>
      </x:c>
      <x:c r="F12" s="81" t="str">
        <x:v>Overcommitment, stalled tasks or unauthorized financial decision</x:v>
      </x:c>
      <x:c r="G12" s="81" t="str">
        <x:v>Must close before shipped financial transitions</x:v>
      </x:c>
      <x:c r="H12" s="81" t="str">
        <x:v>Reconcile PPADA/PFM/PE delegation; implement named tasks and idempotent ledger transitions.</x:v>
      </x:c>
      <x:c r="I12" s="81" t="str">
        <x:v>Budget Revision Ledger + Shared Authorization Ledger</x:v>
      </x:c>
      <x:c r="J12" s="81" t="str">
        <x:v>Open</x:v>
      </x:c>
      <x:c r="K12" s="81" t="str">
        <x:v>Budget Owner</x:v>
      </x:c>
      <x:c r="L12" s="81" t="str">
        <x:v>SRC-006; SRC-007; SRC-010</x:v>
      </x:c>
    </x:row>
    <x:row r="13" ht="72" customHeight="1">
      <x:c r="A13" s="86" t="str">
        <x:v>GAP-009</x:v>
      </x:c>
      <x:c r="B13" s="81" t="str">
        <x:v>CTL-031</x:v>
      </x:c>
      <x:c r="C13" s="81" t="str">
        <x:v>Tender Initiation; Planning</x:v>
      </x:c>
      <x:c r="D13" s="81" t="str">
        <x:v>No governed, versioned method/grounds/threshold catalogue is available; Planning temporarily supports Open tender only.</x:v>
      </x:c>
      <x:c r="E13" s="81" t="str">
        <x:v>Critical</x:v>
      </x:c>
      <x:c r="F13" s="81" t="str">
        <x:v>Unlawful method choice or stale threshold</x:v>
      </x:c>
      <x:c r="G13" s="81" t="str">
        <x:v>MVP-1 may ship Open tender only if alternatives fail closed</x:v>
      </x:c>
      <x:c r="H13" s="81" t="str">
        <x:v>Implement compliance catalogue; reject all unsupported method values before persistence/task creation.</x:v>
      </x:c>
      <x:c r="I13" s="81" t="str">
        <x:v>Statutory Catalogue + Tender Initiation Ledger</x:v>
      </x:c>
      <x:c r="J13" s="81" t="str">
        <x:v>Open; controlled deferral possible</x:v>
      </x:c>
      <x:c r="K13" s="81" t="str">
        <x:v>Compliance / Tender Owner</x:v>
      </x:c>
      <x:c r="L13" s="81" t="str">
        <x:v>SRC-003; SRC-009</x:v>
      </x:c>
    </x:row>
    <x:row r="14" ht="72" customHeight="1">
      <x:c r="A14" s="86" t="str">
        <x:v>GAP-010</x:v>
      </x:c>
      <x:c r="B14" s="81" t="str">
        <x:v>CTL-033</x:v>
      </x:c>
      <x:c r="C14" s="81" t="str">
        <x:v>STD Administration; Tender Configuration</x:v>
      </x:c>
      <x:c r="D14" s="81" t="str">
        <x:v>Eighth Schedule and current PPRA STD page are not reconciled as one controlled, effective-dated catalogue.</x:v>
      </x:c>
      <x:c r="E14" s="81" t="str">
        <x:v>Critical</x:v>
      </x:c>
      <x:c r="F14" s="81" t="str">
        <x:v>Wrong/obsolete tender document</x:v>
      </x:c>
      <x:c r="G14" s="81" t="str">
        <x:v>Must close before tender publication</x:v>
      </x:c>
      <x:c r="H14" s="81" t="str">
        <x:v>Build source/version/checksum catalogue and Eighth-Schedule crosswalk.</x:v>
      </x:c>
      <x:c r="I14" s="81" t="str">
        <x:v>STD Administration Ledger</x:v>
      </x:c>
      <x:c r="J14" s="81" t="str">
        <x:v>Open</x:v>
      </x:c>
      <x:c r="K14" s="81" t="str">
        <x:v>STD Owner</x:v>
      </x:c>
      <x:c r="L14" s="81" t="str">
        <x:v>SRC-003; SRC-004; SRC-005</x:v>
      </x:c>
    </x:row>
    <x:row r="15" ht="72" customHeight="1">
      <x:c r="A15" s="86" t="str">
        <x:v>GAP-011</x:v>
      </x:c>
      <x:c r="B15" s="81" t="str">
        <x:v>CTL-034, CTL-041, CTL-044</x:v>
      </x:c>
      <x:c r="C15" s="81" t="str">
        <x:v>Tender Configuration; Bidder Workspace</x:v>
      </x:c>
      <x:c r="D15" s="81" t="str">
        <x:v>Tender document, evaluation criteria and bidder-submission manifest are not yet proven as one atomic published version.</x:v>
      </x:c>
      <x:c r="E15" s="81" t="str">
        <x:v>Critical</x:v>
      </x:c>
      <x:c r="F15" s="81" t="str">
        <x:v>Bidders answer a schema different from the legal tender or evaluation</x:v>
      </x:c>
      <x:c r="G15" s="81" t="str">
        <x:v>Must close before tender publication</x:v>
      </x:c>
      <x:c r="H15" s="81" t="str">
        <x:v>Seal and publish tender package + manifest atomically; preserve immutable version hash.</x:v>
      </x:c>
      <x:c r="I15" s="81" t="str">
        <x:v>Tender Configuration / Bidder Manifest Ledger</x:v>
      </x:c>
      <x:c r="J15" s="81" t="str">
        <x:v>Known implementation gap</x:v>
      </x:c>
      <x:c r="K15" s="81" t="str">
        <x:v>Tender / Bidder Owners</x:v>
      </x:c>
      <x:c r="L15" s="81" t="str">
        <x:v>SRC-004; SRC-010</x:v>
      </x:c>
    </x:row>
    <x:row r="16" ht="72" customHeight="1">
      <x:c r="A16" s="86" t="str">
        <x:v>GAP-012</x:v>
      </x:c>
      <x:c r="B16" s="81" t="str">
        <x:v>CTL-005, CTL-042–044, CTL-050–054</x:v>
      </x:c>
      <x:c r="C16" s="81" t="str">
        <x:v>Tender Management; Records</x:v>
      </x:c>
      <x:c r="D16" s="81" t="str">
        <x:v>Complete proceeding record, confidentiality, clarifications, opening and evaluation evidence are not proved against Sixth/Seventh Schedules.</x:v>
      </x:c>
      <x:c r="E16" s="81" t="str">
        <x:v>Critical</x:v>
      </x:c>
      <x:c r="F16" s="81" t="str">
        <x:v>Audit/review failure and confidentiality breach</x:v>
      </x:c>
      <x:c r="G16" s="81" t="str">
        <x:v>Must close before opening/evaluation release</x:v>
      </x:c>
      <x:c r="H16" s="81" t="str">
        <x:v>Implement stage records, declarations, sealed access and auto-generated Seventh Schedule summary.</x:v>
      </x:c>
      <x:c r="I16" s="81" t="str">
        <x:v>Tender Management + Records Ledger</x:v>
      </x:c>
      <x:c r="J16" s="81" t="str">
        <x:v>Open</x:v>
      </x:c>
      <x:c r="K16" s="81" t="str">
        <x:v>Tender Owner</x:v>
      </x:c>
      <x:c r="L16" s="81" t="str">
        <x:v>SRC-002; SRC-003</x:v>
      </x:c>
    </x:row>
    <x:row r="17" ht="72" customHeight="1">
      <x:c r="A17" s="86" t="str">
        <x:v>GAP-013</x:v>
      </x:c>
      <x:c r="B17" s="81" t="str">
        <x:v>CTL-036, CTL-050, CTL-051, CTL-075</x:v>
      </x:c>
      <x:c r="C17" s="81" t="str">
        <x:v>Shared Authorization; Tender; Contract</x:v>
      </x:c>
      <x:c r="D17" s="81" t="str">
        <x:v>Committee appointment, quorum, declarations, recusal and stage-limited access are not comprehensively modeled.</x:v>
      </x:c>
      <x:c r="E17" s="81" t="str">
        <x:v>Critical</x:v>
      </x:c>
      <x:c r="F17" s="81" t="str">
        <x:v>Invalid committee action or segregation breach</x:v>
      </x:c>
      <x:c r="G17" s="81" t="str">
        <x:v>Must close before affected stage release</x:v>
      </x:c>
      <x:c r="H17" s="81" t="str">
        <x:v>Create reusable committee/appointment service bound to Second/Sixth Schedules.</x:v>
      </x:c>
      <x:c r="I17" s="81" t="str">
        <x:v>Shared Authorization Ledger</x:v>
      </x:c>
      <x:c r="J17" s="81" t="str">
        <x:v>Open</x:v>
      </x:c>
      <x:c r="K17" s="81" t="str">
        <x:v>Authorization Owner</x:v>
      </x:c>
      <x:c r="L17" s="81" t="str">
        <x:v>SRC-002; SRC-003; SRC-007</x:v>
      </x:c>
    </x:row>
    <x:row r="18" ht="72" customHeight="1">
      <x:c r="A18" s="86" t="str">
        <x:v>GAP-014</x:v>
      </x:c>
      <x:c r="B18" s="81" t="str">
        <x:v>CTL-060</x:v>
      </x:c>
      <x:c r="C18" s="81" t="str">
        <x:v>Tender Management; Awards</x:v>
      </x:c>
      <x:c r="D18" s="81" t="str">
        <x:v>Ninth Schedule professional opinion is not yet a verified structured control.</x:v>
      </x:c>
      <x:c r="E18" s="81" t="str">
        <x:v>Critical</x:v>
      </x:c>
      <x:c r="F18" s="81" t="str">
        <x:v>AO decides without prescribed professional review</x:v>
      </x:c>
      <x:c r="G18" s="81" t="str">
        <x:v>Must close before award release</x:v>
      </x:c>
      <x:c r="H18" s="81" t="str">
        <x:v>Implement Ninth Schedule data contract and HoPF-only task.</x:v>
      </x:c>
      <x:c r="I18" s="81" t="str">
        <x:v>Tender/Awards Ledger</x:v>
      </x:c>
      <x:c r="J18" s="81" t="str">
        <x:v>Open</x:v>
      </x:c>
      <x:c r="K18" s="81" t="str">
        <x:v>Tender Owner</x:v>
      </x:c>
      <x:c r="L18" s="81" t="str">
        <x:v>SRC-003</x:v>
      </x:c>
    </x:row>
    <x:row r="19" ht="72" customHeight="1">
      <x:c r="A19" s="86" t="str">
        <x:v>GAP-015</x:v>
      </x:c>
      <x:c r="B19" s="81" t="str">
        <x:v>CTL-061</x:v>
      </x:c>
      <x:c r="C19" s="81" t="str">
        <x:v>Awards; Shared Authorization</x:v>
      </x:c>
      <x:c r="D19" s="81" t="str">
        <x:v>Accounting Officer final award authority is not comprehensively encoded; generic reviewer/Head-of-Procurement assumptions remain in earlier designs.</x:v>
      </x:c>
      <x:c r="E19" s="81" t="str">
        <x:v>Critical</x:v>
      </x:c>
      <x:c r="F19" s="81" t="str">
        <x:v>Award by unauthorized actor</x:v>
      </x:c>
      <x:c r="G19" s="81" t="str">
        <x:v>Must close before award release</x:v>
      </x:c>
      <x:c r="H19" s="81" t="str">
        <x:v>AO/delegation capability and sealed-input decision surface.</x:v>
      </x:c>
      <x:c r="I19" s="81" t="str">
        <x:v>Awards + Shared Authorization Ledgers</x:v>
      </x:c>
      <x:c r="J19" s="81" t="str">
        <x:v>Open</x:v>
      </x:c>
      <x:c r="K19" s="81" t="str">
        <x:v>Awards Owner</x:v>
      </x:c>
      <x:c r="L19" s="81" t="str">
        <x:v>SRC-002; SRC-003; SRC-007</x:v>
      </x:c>
    </x:row>
    <x:row r="20" ht="72" customHeight="1">
      <x:c r="A20" s="86" t="str">
        <x:v>GAP-016</x:v>
      </x:c>
      <x:c r="B20" s="81" t="str">
        <x:v>CTL-062, CTL-063, CTL-070</x:v>
      </x:c>
      <x:c r="C20" s="81" t="str">
        <x:v>Awards; Contracts</x:v>
      </x:c>
      <x:c r="D20" s="81" t="str">
        <x:v>Notification, standstill/formation, award publication and contract signature have not been verified as separate controlled events.</x:v>
      </x:c>
      <x:c r="E20" s="81" t="str">
        <x:v>Critical</x:v>
      </x:c>
      <x:c r="F20" s="81" t="str">
        <x:v>Premature or invalid contract</x:v>
      </x:c>
      <x:c r="G20" s="81" t="str">
        <x:v>Must close before award/contract release</x:v>
      </x:c>
      <x:c r="H20" s="81" t="str">
        <x:v>Model distinct states, dates, receipts and authority checks.</x:v>
      </x:c>
      <x:c r="I20" s="81" t="str">
        <x:v>Awards / Contract Formation Ledger</x:v>
      </x:c>
      <x:c r="J20" s="81" t="str">
        <x:v>Open</x:v>
      </x:c>
      <x:c r="K20" s="81" t="str">
        <x:v>Awards / Contract Owners</x:v>
      </x:c>
      <x:c r="L20" s="81" t="str">
        <x:v>SRC-002; SRC-003; SRC-004</x:v>
      </x:c>
    </x:row>
    <x:row r="21" ht="72" customHeight="1">
      <x:c r="A21" s="86" t="str">
        <x:v>GAP-017</x:v>
      </x:c>
      <x:c r="B21" s="81" t="str">
        <x:v>CTL-071–078</x:v>
      </x:c>
      <x:c r="C21" s="81" t="str">
        <x:v>Contract Management; Stores; Finance</x:v>
      </x:c>
      <x:c r="D21" s="81" t="str">
        <x:v>Contract implementation, securities, variation, inspection, stores, invoice certification and closure are planned or unassessed.</x:v>
      </x:c>
      <x:c r="E21" s="81" t="str">
        <x:v>Critical</x:v>
      </x:c>
      <x:c r="F21" s="81" t="str">
        <x:v>Uncontrolled delivery/payment/variation</x:v>
      </x:c>
      <x:c r="G21" s="81" t="str">
        <x:v>May defer only if module is not claimed or shipped</x:v>
      </x:c>
      <x:c r="H21" s="81" t="str">
        <x:v>Create Contract Management integrated ledger before enabling any production contract workflow.</x:v>
      </x:c>
      <x:c r="I21" s="81" t="str">
        <x:v>Contract Management Ledger</x:v>
      </x:c>
      <x:c r="J21" s="81" t="str">
        <x:v>Deferred</x:v>
      </x:c>
      <x:c r="K21" s="81" t="str">
        <x:v>Contract Owner</x:v>
      </x:c>
      <x:c r="L21" s="81" t="str">
        <x:v>SRC-002; SRC-003</x:v>
      </x:c>
    </x:row>
    <x:row r="22" ht="72" customHeight="1">
      <x:c r="A22" s="86" t="str">
        <x:v>GAP-018</x:v>
      </x:c>
      <x:c r="B22" s="81" t="str">
        <x:v>CTL-074</x:v>
      </x:c>
      <x:c r="C22" s="81" t="str">
        <x:v>Contract Management; Budget</x:v>
      </x:c>
      <x:c r="D22" s="81" t="str">
        <x:v>No governed variation calculator/approval/funding gate exists.</x:v>
      </x:c>
      <x:c r="E22" s="81" t="str">
        <x:v>Critical</x:v>
      </x:c>
      <x:c r="F22" s="81" t="str">
        <x:v>Unlawful scope/value/time change and unfunded liability</x:v>
      </x:c>
      <x:c r="G22" s="81" t="str">
        <x:v>Must close before variation support</x:v>
      </x:c>
      <x:c r="H22" s="81" t="str">
        <x:v>Version statutory conditions/limits; funding first; AO decision.</x:v>
      </x:c>
      <x:c r="I22" s="81" t="str">
        <x:v>Contract Management + Budget Ledgers</x:v>
      </x:c>
      <x:c r="J22" s="81" t="str">
        <x:v>Deferred with module</x:v>
      </x:c>
      <x:c r="K22" s="81" t="str">
        <x:v>Contract / Budget Owners</x:v>
      </x:c>
      <x:c r="L22" s="81" t="str">
        <x:v>SRC-002; SRC-003; SRC-006</x:v>
      </x:c>
    </x:row>
    <x:row r="23" ht="72" customHeight="1">
      <x:c r="A23" s="86" t="str">
        <x:v>GAP-019</x:v>
      </x:c>
      <x:c r="B23" s="81" t="str">
        <x:v>CTL-080, CTL-081</x:v>
      </x:c>
      <x:c r="C23" s="81" t="str">
        <x:v>Planning; Tender; Reporting</x:v>
      </x:c>
      <x:c r="D23" s="81" t="str">
        <x:v>Preference/reservation controls and reporting are partial projections rather than an end-to-end statutory data contract.</x:v>
      </x:c>
      <x:c r="E23" s="81" t="str">
        <x:v>Critical</x:v>
      </x:c>
      <x:c r="F23" s="81" t="str">
        <x:v>Missed mandatory allocation/reporting or incorrect eligibility</x:v>
      </x:c>
      <x:c r="G23" s="81" t="str">
        <x:v>MVP-1 must close planning controls; downstream before tender/award release</x:v>
      </x:c>
      <x:c r="H23" s="81" t="str">
        <x:v>Implement distinct rules for national target groups, county residents and current report formats.</x:v>
      </x:c>
      <x:c r="I23" s="81" t="str">
        <x:v>Planning + Reporting Ledgers</x:v>
      </x:c>
      <x:c r="J23" s="81" t="str">
        <x:v>Open</x:v>
      </x:c>
      <x:c r="K23" s="81" t="str">
        <x:v>Compliance / Reporting Owner</x:v>
      </x:c>
      <x:c r="L23" s="81" t="str">
        <x:v>SRC-002; SRC-003</x:v>
      </x:c>
    </x:row>
    <x:row r="24" ht="72" customHeight="1">
      <x:c r="A24" s="86" t="str">
        <x:v>GAP-020</x:v>
      </x:c>
      <x:c r="B24" s="81" t="str">
        <x:v>CTL-090–092</x:v>
      </x:c>
      <x:c r="C24" s="81" t="str">
        <x:v>Asset Management; Disposal</x:v>
      </x:c>
      <x:c r="D24" s="81" t="str">
        <x:v>Asset disposal lifecycle and prescribed schedules/forms are outside current MVP.</x:v>
      </x:c>
      <x:c r="E24" s="81" t="str">
        <x:v>High</x:v>
      </x:c>
      <x:c r="F24" s="81" t="str">
        <x:v>False compliance claim if disposal is exposed</x:v>
      </x:c>
      <x:c r="G24" s="81" t="str">
        <x:v>Defer to MVP-2; keep navigation/commands unavailable</x:v>
      </x:c>
      <x:c r="H24" s="81" t="str">
        <x:v>Create Disposal integrated ledger before implementation.</x:v>
      </x:c>
      <x:c r="I24" s="81" t="str">
        <x:v>Asset Disposal Ledger</x:v>
      </x:c>
      <x:c r="J24" s="81" t="str">
        <x:v>Deferred</x:v>
      </x:c>
      <x:c r="K24" s="81" t="str">
        <x:v>Disposal Owner</x:v>
      </x:c>
      <x:c r="L24" s="81" t="str">
        <x:v>SRC-002; SRC-003; SRC-004</x:v>
      </x:c>
    </x:row>
    <x:row r="25" ht="72" customHeight="1">
      <x:c r="A25" s="86" t="str">
        <x:v>GAP-021</x:v>
      </x:c>
      <x:c r="B25" s="81" t="str">
        <x:v>CTL-100–102</x:v>
      </x:c>
      <x:c r="C25" s="81" t="str">
        <x:v>Administrative Review; all downstream modules</x:v>
      </x:c>
      <x:c r="D25" s="81" t="str">
        <x:v>No review case/stay/outcome workflow exists.</x:v>
      </x:c>
      <x:c r="E25" s="81" t="str">
        <x:v>Critical</x:v>
      </x:c>
      <x:c r="F25" s="81" t="str">
        <x:v>Procurement continues during statutory stay; incomplete record response</x:v>
      </x:c>
      <x:c r="G25" s="81" t="str">
        <x:v>UI may defer, but production award/contract path needs a legally reviewed manual/system hold</x:v>
      </x:c>
      <x:c r="H25" s="81" t="str">
        <x:v>Implement minimum hold/export control before production; full module later.</x:v>
      </x:c>
      <x:c r="I25" s="81" t="str">
        <x:v>Administrative Review Ledger</x:v>
      </x:c>
      <x:c r="J25" s="81" t="str">
        <x:v>Deferred with minimum control required</x:v>
      </x:c>
      <x:c r="K25" s="81" t="str">
        <x:v>Legal / Platform Owner</x:v>
      </x:c>
      <x:c r="L25" s="81" t="str">
        <x:v>SRC-002; SRC-003</x:v>
      </x:c>
    </x:row>
    <x:row r="26" ht="72" customHeight="1">
      <x:c r="A26" s="86" t="str">
        <x:v>GAP-022</x:v>
      </x:c>
      <x:c r="B26" s="81" t="str">
        <x:v>CTL-005, CTL-101</x:v>
      </x:c>
      <x:c r="C26" s="81" t="str">
        <x:v>Records</x:v>
      </x:c>
      <x:c r="D26" s="81" t="str">
        <x:v>No demonstrated one-click complete procurement-file export with chain of custody.</x:v>
      </x:c>
      <x:c r="E26" s="81" t="str">
        <x:v>Critical</x:v>
      </x:c>
      <x:c r="F26" s="81" t="str">
        <x:v>Cannot support audit or Review Board</x:v>
      </x:c>
      <x:c r="G26" s="81" t="str">
        <x:v>Must close before production procurement proceedings</x:v>
      </x:c>
      <x:c r="H26" s="81" t="str">
        <x:v>Implement proceeding manifest, record completeness checks, hashes and controlled export.</x:v>
      </x:c>
      <x:c r="I26" s="81" t="str">
        <x:v>Records &amp; Evidence Ledger</x:v>
      </x:c>
      <x:c r="J26" s="81" t="str">
        <x:v>Open</x:v>
      </x:c>
      <x:c r="K26" s="81" t="str">
        <x:v>Records Owner</x:v>
      </x:c>
      <x:c r="L26" s="81" t="str">
        <x:v>SRC-002; SRC-003</x:v>
      </x:c>
    </x:row>
    <x:row r="27" ht="72" customHeight="1">
      <x:c r="A27" s="86" t="str">
        <x:v>GAP-023</x:v>
      </x:c>
      <x:c r="B27" s="81" t="str">
        <x:v>CTL-006</x:v>
      </x:c>
      <x:c r="C27" s="81" t="str">
        <x:v>Integrations</x:v>
      </x:c>
      <x:c r="D27" s="81" t="str">
        <x:v>State Portal/e-procurement transmission states and receipts are not demonstrated across required interfaces.</x:v>
      </x:c>
      <x:c r="E27" s="81" t="str">
        <x:v>High</x:v>
      </x:c>
      <x:c r="F27" s="81" t="str">
        <x:v>Local status diverges from official portal</x:v>
      </x:c>
      <x:c r="G27" s="81" t="str">
        <x:v>Close before each external integration is claimed</x:v>
      </x:c>
      <x:c r="H27" s="81" t="str">
        <x:v>Implement idempotent transmission/receipt/reconciliation contract.</x:v>
      </x:c>
      <x:c r="I27" s="81" t="str">
        <x:v>Integration Ledger</x:v>
      </x:c>
      <x:c r="J27" s="81" t="str">
        <x:v>Not assessed</x:v>
      </x:c>
      <x:c r="K27" s="81" t="str">
        <x:v>Integration Owner</x:v>
      </x:c>
      <x:c r="L27" s="81" t="str">
        <x:v>SRC-003</x:v>
      </x:c>
    </x:row>
    <x:row r="28" ht="72" customHeight="1">
      <x:c r="A28" s="86" t="str">
        <x:v>GAP-024</x:v>
      </x:c>
      <x:c r="B28" s="81" t="str">
        <x:v>CTL-110, CTL-111</x:v>
      </x:c>
      <x:c r="C28" s="81" t="str">
        <x:v>Documentation; Seed Data; Testing</x:v>
      </x:c>
      <x:c r="D28" s="81" t="str">
        <x:v>Legacy separate packs and misleading seed scenarios remain in the evidence base and can reintroduce superseded assumptions.</x:v>
      </x:c>
      <x:c r="E28" s="81" t="str">
        <x:v>High</x:v>
      </x:c>
      <x:c r="F28" s="81" t="str">
        <x:v>Regression through documentation or demo data</x:v>
      </x:c>
      <x:c r="G28" s="81" t="str">
        <x:v>Must close before MVP-1 release</x:v>
      </x:c>
      <x:c r="H28" s="81" t="str">
        <x:v>Use integrated revision-ledger units; mark legacy packs historical; rebuild traceable seeds.</x:v>
      </x:c>
      <x:c r="I28" s="81" t="str">
        <x:v>All active ledgers</x:v>
      </x:c>
      <x:c r="J28" s="81" t="str">
        <x:v>New standard approved; cleanup pending</x:v>
      </x:c>
      <x:c r="K28" s="81" t="str">
        <x:v>Product / QA Owners</x:v>
      </x:c>
      <x:c r="L28" s="81" t="str">
        <x:v>SRC-008; SRC-009; SRC-010</x:v>
      </x:c>
    </x:row>
    <x:row r="29" ht="72" customHeight="1">
      <x:c r="A29" s="86" t="str">
        <x:v>GAP-025</x:v>
      </x:c>
      <x:c r="B29" s="81" t="str">
        <x:v>CTL-112</x:v>
      </x:c>
      <x:c r="C29" s="81" t="str">
        <x:v>Release Governance</x:v>
      </x:c>
      <x:c r="D29" s="81" t="str">
        <x:v>No formal legal change-monitoring owner and release sign-off is established.</x:v>
      </x:c>
      <x:c r="E29" s="81" t="str">
        <x:v>High</x:v>
      </x:c>
      <x:c r="F29" s="81" t="str">
        <x:v>Product ships against superseded law/instrument</x:v>
      </x:c>
      <x:c r="G29" s="81" t="str">
        <x:v>Must close before production release</x:v>
      </x:c>
      <x:c r="H29" s="81" t="str">
        <x:v>Assign compliance owner; run source-currentness and change-impact review every release.</x:v>
      </x:c>
      <x:c r="I29" s="81" t="str">
        <x:v>Release Governance Ledger</x:v>
      </x:c>
      <x:c r="J29" s="81" t="str">
        <x:v>Open</x:v>
      </x:c>
      <x:c r="K29" s="81" t="str">
        <x:v>Executive Sponsor / Legal Compliance Owner</x:v>
      </x:c>
      <x:c r="L29" s="81" t="str">
        <x:v>SRC-002; SRC-003; SRC-004; SRC-011; SRC-012</x:v>
      </x:c>
    </x:row>
    <x:row r="30" ht="72" customHeight="1">
      <x:c r="A30" s="86" t="str">
        <x:v>GAP-026</x:v>
      </x:c>
      <x:c r="B30" s="81" t="str">
        <x:v>CTL-013, CTL-023</x:v>
      </x:c>
      <x:c r="C30" s="81" t="str">
        <x:v>Departmental Needs; Procurement Planning; Procurement Requisitions</x:v>
      </x:c>
      <x:c r="D30" s="81" t="str">
        <x:v>Departmental Need consolidation and Plan Item aggregation/splitting lack complete no-splitting, quantity/value reconciliation and source-lineage controls; Requisitions also lack an active Plan Item allocation/no-double-use gate.</x:v>
      </x:c>
      <x:c r="E30" s="81" t="str">
        <x:v>Critical</x:v>
      </x:c>
      <x:c r="F30" s="81" t="str">
        <x:v>Artificial splitting, double counting or lost requirements</x:v>
      </x:c>
      <x:c r="G30" s="81" t="str">
        <x:v>Must close before MVP-1 release</x:v>
      </x:c>
      <x:c r="H30" s="81" t="str">
        <x:v>Add compatibility, threshold-impact, allocation, no-double-use and end-to-end lineage validations across Needs, Planning and Requisitions.</x:v>
      </x:c>
      <x:c r="I30" s="81" t="str">
        <x:v>Departmental Needs + Procurement Planning + Procurement Requisitions Ledgers</x:v>
      </x:c>
      <x:c r="J30" s="81" t="str">
        <x:v>Open</x:v>
      </x:c>
      <x:c r="K30" s="81" t="str">
        <x:v>Departmental Needs / Planning / Requisitions Owners</x:v>
      </x:c>
      <x:c r="L30" s="81" t="str">
        <x:v>SRC-002; SRC-003; SRC-009</x:v>
      </x:c>
    </x:row>
    <x:row r="31" ht="72" customHeight="1">
      <x:c r="A31" s="86" t="str">
        <x:v>GAP-027</x:v>
      </x:c>
      <x:c r="B31" s="81" t="str">
        <x:v>CTL-014</x:v>
      </x:c>
      <x:c r="C31" s="81" t="str">
        <x:v>Strategy; Budget; Departmental Needs; Procurement Planning; Procurement Requisitions</x:v>
      </x:c>
      <x:c r="D31" s="81" t="str">
        <x:v>Estimate evidence is not consistently versioned with source/date/currency/staleness across modules.</x:v>
      </x:c>
      <x:c r="E31" s="81" t="str">
        <x:v>High</x:v>
      </x:c>
      <x:c r="F31" s="81" t="str">
        <x:v>Unrealistic plan/requisition and wrong method/funding decision</x:v>
      </x:c>
      <x:c r="G31" s="81" t="str">
        <x:v>Must close before MVP-1 release</x:v>
      </x:c>
      <x:c r="H31" s="81" t="str">
        <x:v>Create common Estimate Evidence contract and policy-driven staleness control.</x:v>
      </x:c>
      <x:c r="I31" s="81" t="str">
        <x:v>Shared Data Contract + module ledgers</x:v>
      </x:c>
      <x:c r="J31" s="81" t="str">
        <x:v>Open</x:v>
      </x:c>
      <x:c r="K31" s="81" t="str">
        <x:v>Budget / Planning Owners</x:v>
      </x:c>
      <x:c r="L31" s="81" t="str">
        <x:v>SRC-002; SRC-003</x:v>
      </x:c>
    </x:row>
    <x:row r="32" ht="72" customHeight="1">
      <x:c r="A32" s="87" t="str">
        <x:v>GAP-028</x:v>
      </x:c>
      <x:c r="B32" s="82" t="str">
        <x:v>CTL-002, CTL-031</x:v>
      </x:c>
      <x:c r="C32" s="82" t="str">
        <x:v>STD Administration; Shared Compliance</x:v>
      </x:c>
      <x:c r="D32" s="82" t="str">
        <x:v>Numeric thresholds and legal grounds risk being embedded in code, copy or seed data without effective dates.</x:v>
      </x:c>
      <x:c r="E32" s="82" t="str">
        <x:v>Critical</x:v>
      </x:c>
      <x:c r="F32" s="82" t="str">
        <x:v>Stale legal rule applied silently</x:v>
      </x:c>
      <x:c r="G32" s="82" t="str">
        <x:v>Must close before non-open methods or threshold-dependent features</x:v>
      </x:c>
      <x:c r="H32" s="82" t="str">
        <x:v>Versioned compliance catalogue with activation approval and historical pinning.</x:v>
      </x:c>
      <x:c r="I32" s="82" t="str">
        <x:v>Statutory Catalogue Ledger</x:v>
      </x:c>
      <x:c r="J32" s="82" t="str">
        <x:v>Open</x:v>
      </x:c>
      <x:c r="K32" s="82" t="str">
        <x:v>Compliance / Platform Owners</x:v>
      </x:c>
      <x:c r="L32" s="82" t="str">
        <x:v>SRC-003; SRC-010</x:v>
      </x:c>
    </x:row>
  </x:sheetData>
  <x:mergeCells>
    <x:mergeCell ref="A1:L1"/>
    <x:mergeCell ref="A2:L2"/>
  </x:mergeCells>
  <x:conditionalFormatting sqref="E5:E32">
    <x:cfRule type="containsText" dxfId="0" priority="1" operator="containsText" text="Critical"/>
    <x:cfRule type="containsText" dxfId="1" priority="2" operator="containsText" text="High"/>
  </x:conditionalFormatting>
  <x:conditionalFormatting sqref="J5:J32">
    <x:cfRule type="containsText" dxfId="2" priority="3" operator="containsText" text="Closed"/>
    <x:cfRule type="containsText" dxfId="3" priority="4" operator="containsText" text="Open"/>
    <x:cfRule type="containsText" dxfId="4" priority="5" operator="containsText" text="Deferred"/>
  </x:conditionalFormatting>
  <x:dataValidations count="2">
    <x:dataValidation type="list" sqref="E5:E32">
      <x:formula1>'Controlled Lists'!$B$2:$B$5</x:formula1>
    </x:dataValidation>
    <x:dataValidation type="list" sqref="J5:J32">
      <x:formula1>'Controlled Lists'!$D$2:$D$7</x:formula1>
    </x:dataValidation>
  </x:dataValidations>
  <x:pageMargins left="0.7" right="0.7" top="0.75" bottom="0.75" header="0.3" footer="0.3"/>
  <x:tableParts count="1">
    <x:tablePart xmlns:r="http://schemas.openxmlformats.org/officeDocument/2006/relationships" r:id="R7f03aa1c7cd34c8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48" hidden="0" customWidth="1"/>
    <x:col min="4" max="4" width="32" hidden="0" customWidth="1"/>
    <x:col min="5" max="5" width="44" hidden="0" customWidth="1"/>
    <x:col min="6" max="6" width="64" hidden="0" customWidth="1"/>
    <x:col min="7" max="7" width="22" hidden="0" customWidth="1"/>
    <x:col min="8" max="8" width="44" hidden="0" customWidth="1"/>
  </x:cols>
  <x:sheetData>
    <x:row r="1" ht="32" customHeight="1">
      <x:c r="A1" s="66" t="str">
        <x:v>Sources</x:v>
      </x:c>
      <x:c r="B1" s="66"/>
      <x:c r="C1" s="66"/>
      <x:c r="D1" s="66"/>
      <x:c r="E1" s="66"/>
      <x:c r="F1" s="66"/>
      <x:c r="G1" s="66"/>
      <x:c r="H1" s="66"/>
    </x:row>
    <x:row r="2" ht="30" customHeight="1">
      <x:c r="A2" s="69" t="str">
        <x:v>Official sources control legal interpretation. Product and implementation sources describe KenTender only. Recheck effective versions before release.</x:v>
      </x:c>
      <x:c r="B2" s="69"/>
      <x:c r="C2" s="69"/>
      <x:c r="D2" s="69"/>
      <x:c r="E2" s="69"/>
      <x:c r="F2" s="69"/>
      <x:c r="G2" s="69"/>
      <x:c r="H2" s="69"/>
    </x:row>
    <x:row r="4" ht="34" customHeight="1">
      <x:c r="A4" s="72" t="str">
        <x:v>Source ID</x:v>
      </x:c>
      <x:c r="B4" s="72" t="str">
        <x:v>Authority Type</x:v>
      </x:c>
      <x:c r="C4" s="72" t="str">
        <x:v>Title</x:v>
      </x:c>
      <x:c r="D4" s="72" t="str">
        <x:v>Version / Review Date</x:v>
      </x:c>
      <x:c r="E4" s="72" t="str">
        <x:v>Scope / Use</x:v>
      </x:c>
      <x:c r="F4" s="72" t="str">
        <x:v>URL / Resource</x:v>
      </x:c>
      <x:c r="G4" s="72" t="str">
        <x:v>Publisher / Owner</x:v>
      </x:c>
      <x:c r="H4" s="72" t="str">
        <x:v>Control Note</x:v>
      </x:c>
    </x:row>
    <x:row r="5" ht="62" customHeight="1">
      <x:c r="A5" s="85" t="str">
        <x:v>SRC-001</x:v>
      </x:c>
      <x:c r="B5" s="80" t="str">
        <x:v>Primary legislation</x:v>
      </x:c>
      <x:c r="C5" s="80" t="str">
        <x:v>Constitution of Kenya, 2010 — Article 227</x:v>
      </x:c>
      <x:c r="D5" s="80" t="str">
        <x:v>Current constitutional text</x:v>
      </x:c>
      <x:c r="E5" s="80" t="str">
        <x:v>Fair, equitable, transparent, competitive and cost-effective public procurement principles.</x:v>
      </x:c>
      <x:c r="F5" s="80" t="str">
        <x:v>https://new.kenyalaw.org/akn/ke/act/2010/constitution/eng@2022-12-31</x:v>
      </x:c>
      <x:c r="G5" s="80" t="str">
        <x:v>Kenya Law</x:v>
      </x:c>
      <x:c r="H5" s="80" t="str">
        <x:v>Verify for constitutional amendments before release.</x:v>
      </x:c>
    </x:row>
    <x:row r="6" ht="62" customHeight="1">
      <x:c r="A6" s="86" t="str">
        <x:v>SRC-002</x:v>
      </x:c>
      <x:c r="B6" s="81" t="str">
        <x:v>Primary legislation</x:v>
      </x:c>
      <x:c r="C6" s="81" t="str">
        <x:v>Public Procurement and Asset Disposal Act, 2015</x:v>
      </x:c>
      <x:c r="D6" s="81" t="str">
        <x:v>Kenya Law consolidated version dated 31 December 2022</x:v>
      </x:c>
      <x:c r="E6" s="81" t="str">
        <x:v>Principal statutory duties, actors, methods, proceedings, award, contract, preferences, disposal and review.</x:v>
      </x:c>
      <x:c r="F6" s="81" t="str">
        <x:v>https://new.kenyalaw.org/akn/ke/act/2015/33/eng@2022-12-31</x:v>
      </x:c>
      <x:c r="G6" s="81" t="str">
        <x:v>Kenya Law</x:v>
      </x:c>
      <x:c r="H6" s="81" t="str">
        <x:v>Current source used for this baseline.</x:v>
      </x:c>
    </x:row>
    <x:row r="7" ht="62" customHeight="1">
      <x:c r="A7" s="86" t="str">
        <x:v>SRC-003</x:v>
      </x:c>
      <x:c r="B7" s="81" t="str">
        <x:v>Subsidiary legislation</x:v>
      </x:c>
      <x:c r="C7" s="81" t="str">
        <x:v>Public Procurement and Asset Disposal Regulations, 2020</x:v>
      </x:c>
      <x:c r="D7" s="81" t="str">
        <x:v>Kenya Law consolidated version dated 31 December 2022</x:v>
      </x:c>
      <x:c r="E7" s="81" t="str">
        <x:v>Detailed procedures, roles, thresholds and prescribed schedules/forms.</x:v>
      </x:c>
      <x:c r="F7" s="81" t="str">
        <x:v>https://new.kenyalaw.org/akn/ke/act/ln/2020/69/eng@2022-12-31</x:v>
      </x:c>
      <x:c r="G7" s="81" t="str">
        <x:v>Kenya Law</x:v>
      </x:c>
      <x:c r="H7" s="81" t="str">
        <x:v>Current source used for this baseline.</x:v>
      </x:c>
    </x:row>
    <x:row r="8" ht="62" customHeight="1">
      <x:c r="A8" s="86" t="str">
        <x:v>SRC-004</x:v>
      </x:c>
      <x:c r="B8" s="81" t="str">
        <x:v>Regulatory instrument</x:v>
      </x:c>
      <x:c r="C8" s="81" t="str">
        <x:v>PPRA Standard Tender Documents</x:v>
      </x:c>
      <x:c r="D8" s="81" t="str">
        <x:v>PPRA current page reviewed 17 August 2026</x:v>
      </x:c>
      <x:c r="E8" s="81" t="str">
        <x:v>Current standard tender documents and evaluation formats; 2021 instruments replaced earlier formats and later updates include beneficial ownership disclosure.</x:v>
      </x:c>
      <x:c r="F8" s="81" t="str">
        <x:v>https://ppra.go.ke/standard-tender-documents/</x:v>
      </x:c>
      <x:c r="G8" s="81" t="str">
        <x:v>PPRA</x:v>
      </x:c>
      <x:c r="H8" s="81" t="str">
        <x:v>System catalogue must be versioned; never embed an unversioned local copy as legal authority.</x:v>
      </x:c>
    </x:row>
    <x:row r="9" ht="62" customHeight="1">
      <x:c r="A9" s="86" t="str">
        <x:v>SRC-005</x:v>
      </x:c>
      <x:c r="B9" s="81" t="str">
        <x:v>Regulatory circular</x:v>
      </x:c>
      <x:c r="C9" s="81" t="str">
        <x:v>PPRA Circular No. 2 of 2021 — issuance of aligned standard documents and formats</x:v>
      </x:c>
      <x:c r="D9" s="81" t="str">
        <x:v>Issued 2021</x:v>
      </x:c>
      <x:c r="E9" s="81" t="str">
        <x:v>Effective-date and replacement authority for PPRA standard documents.</x:v>
      </x:c>
      <x:c r="F9" s="81" t="str">
        <x:v>https://ppra.go.ke/download/issuance-of-standard-tender-documents-formats-aligned-to-the-ppada-2015-and-attendant-regulations/</x:v>
      </x:c>
      <x:c r="G9" s="81" t="str">
        <x:v>PPRA</x:v>
      </x:c>
      <x:c r="H9" s="81" t="str">
        <x:v>Use with SRC-004.</x:v>
      </x:c>
    </x:row>
    <x:row r="10" ht="62" customHeight="1">
      <x:c r="A10" s="86" t="str">
        <x:v>SRC-006</x:v>
      </x:c>
      <x:c r="B10" s="81" t="str">
        <x:v>Public finance legislation</x:v>
      </x:c>
      <x:c r="C10" s="81" t="str">
        <x:v>Public Finance Management Act and applicable National/County Regulations</x:v>
      </x:c>
      <x:c r="D10" s="81" t="str">
        <x:v>Current applicable text to be confirmed per PE</x:v>
      </x:c>
      <x:c r="E10" s="81" t="str">
        <x:v>Appropriation, authority to incur expenditure, commitment control, accounting and payment controls.</x:v>
      </x:c>
      <x:c r="F10" s="81" t="str">
        <x:v>https://new.kenyalaw.org/akn/ke/act/2012/18</x:v>
      </x:c>
      <x:c r="G10" s="81" t="str">
        <x:v>Kenya Law</x:v>
      </x:c>
      <x:c r="H10" s="81" t="str">
        <x:v>This matrix identifies the interface but is not a complete PFM control matrix.</x:v>
      </x:c>
    </x:row>
    <x:row r="11" ht="62" customHeight="1">
      <x:c r="A11" s="86" t="str">
        <x:v>SRC-007</x:v>
      </x:c>
      <x:c r="B11" s="81" t="str">
        <x:v>Product authority</x:v>
      </x:c>
      <x:c r="C11" s="81" t="str">
        <x:v>KenTender Shared Authorization and Work Assignment Revision Ledger</x:v>
      </x:c>
      <x:c r="D11" s="81" t="str">
        <x:v>Current approved integrated ledger</x:v>
      </x:c>
      <x:c r="E11" s="81" t="str">
        <x:v>Cross-module scope, capability, task routing, read-only support and separation-of-duties contract.</x:v>
      </x:c>
      <x:c r="F11" s="81" t="str">
        <x:v>library://libfile_505d3e28f3f081918e5613efb4735926</x:v>
      </x:c>
      <x:c r="G11" s="81" t="str">
        <x:v>KenTender</x:v>
      </x:c>
      <x:c r="H11" s="81" t="str">
        <x:v>Product authority only; cannot override statute.</x:v>
      </x:c>
    </x:row>
    <x:row r="12" ht="62" customHeight="1">
      <x:c r="A12" s="86" t="str">
        <x:v>SRC-008</x:v>
      </x:c>
      <x:c r="B12" s="81" t="str">
        <x:v>Product work plan</x:v>
      </x:c>
      <x:c r="C12" s="81" t="str">
        <x:v>KenTender Demands Module Revamp Work Plan</x:v>
      </x:c>
      <x:c r="D12" s="81" t="str">
        <x:v>Historical work plan; scope superseded 18 August 2026</x:v>
      </x:c>
      <x:c r="E12" s="81" t="str">
        <x:v>Historical evidence of the earlier combined Demand redesign; retained for traceability only.</x:v>
      </x:c>
      <x:c r="F12" s="81" t="str">
        <x:v>library://libfile_cbf8af1153ac819193c2abe279499859</x:v>
      </x:c>
      <x:c r="G12" s="81" t="str">
        <x:v>KenTender</x:v>
      </x:c>
      <x:c r="H12" s="81" t="str">
        <x:v>Its combined Needs/Requisition scope is superseded by Matrix v1.1. Statutory requirements derive from SRC-002/003; new work uses separate Departmental Needs and Procurement Requisitions ledgers.</x:v>
      </x:c>
    </x:row>
    <x:row r="13" ht="62" customHeight="1">
      <x:c r="A13" s="86" t="str">
        <x:v>SRC-009</x:v>
      </x:c>
      <x:c r="B13" s="81" t="str">
        <x:v>Product authority</x:v>
      </x:c>
      <x:c r="C13" s="81" t="str">
        <x:v>Procurement Planning Revision Ledger</x:v>
      </x:c>
      <x:c r="D13" s="81" t="str">
        <x:v>Current integrated ledger through PLN-CHG-017/018 closure work</x:v>
      </x:c>
      <x:c r="E13" s="81" t="str">
        <x:v>Approved Planning requirements, static designs, implementation controls, seed data and acceptance criteria.</x:v>
      </x:c>
      <x:c r="F13" s="81" t="str">
        <x:v>local://Procurement_Planning_Revision_Ledger.md</x:v>
      </x:c>
      <x:c r="G13" s="81" t="str">
        <x:v>KenTender</x:v>
      </x:c>
      <x:c r="H13" s="81" t="str">
        <x:v>Must be reconciled to this statutory matrix; legacy split packs are retired.</x:v>
      </x:c>
    </x:row>
    <x:row r="14" ht="62" customHeight="1">
      <x:c r="A14" s="86" t="str">
        <x:v>SRC-010</x:v>
      </x:c>
      <x:c r="B14" s="81" t="str">
        <x:v>Implementation evidence</x:v>
      </x:c>
      <x:c r="C14" s="81" t="str">
        <x:v>MVP semantic/workflow and disposition audits</x:v>
      </x:c>
      <x:c r="D14" s="81" t="str">
        <x:v>August 2026 evidence set</x:v>
      </x:c>
      <x:c r="E14" s="81" t="str">
        <x:v>Known implementation/documentation gaps and superseded assumptions across Strategy, Budget, legacy Demands, Procurement Planning and related initiation work.</x:v>
      </x:c>
      <x:c r="F14" s="81" t="str">
        <x:v>local://upload/00_Implementation_Disposition_Executive_Summary.md</x:v>
      </x:c>
      <x:c r="G14" s="81" t="str">
        <x:v>KenTender</x:v>
      </x:c>
      <x:c r="H14" s="81" t="str">
        <x:v>Evidence of current state only; never a legal source.</x:v>
      </x:c>
    </x:row>
    <x:row r="15" ht="62" customHeight="1">
      <x:c r="A15" s="86" t="str">
        <x:v>SRC-011</x:v>
      </x:c>
      <x:c r="B15" s="81" t="str">
        <x:v>Regulatory portal</x:v>
      </x:c>
      <x:c r="C15" s="81" t="str">
        <x:v>PPRA Regulations page</x:v>
      </x:c>
      <x:c r="D15" s="81" t="str">
        <x:v>Current page reviewed 17 August 2026</x:v>
      </x:c>
      <x:c r="E15" s="81" t="str">
        <x:v>Access point for current procurement regulations and amendments.</x:v>
      </x:c>
      <x:c r="F15" s="81" t="str">
        <x:v>https://ppra.go.ke/regulations/</x:v>
      </x:c>
      <x:c r="G15" s="81" t="str">
        <x:v>PPRA</x:v>
      </x:c>
      <x:c r="H15" s="81" t="str">
        <x:v>Monitor for amendments.</x:v>
      </x:c>
    </x:row>
    <x:row r="16" ht="62" customHeight="1">
      <x:c r="A16" s="87" t="str">
        <x:v>SRC-012</x:v>
      </x:c>
      <x:c r="B16" s="82" t="str">
        <x:v>Regulatory portal</x:v>
      </x:c>
      <x:c r="C16" s="82" t="str">
        <x:v>PPRA Act page</x:v>
      </x:c>
      <x:c r="D16" s="82" t="str">
        <x:v>Current page reviewed 17 August 2026</x:v>
      </x:c>
      <x:c r="E16" s="82" t="str">
        <x:v>Access point for PPADA Act and related official materials.</x:v>
      </x:c>
      <x:c r="F16" s="82" t="str">
        <x:v>https://ppra.go.ke/ppda/</x:v>
      </x:c>
      <x:c r="G16" s="82" t="str">
        <x:v>PPRA</x:v>
      </x:c>
      <x:c r="H16" s="82" t="str">
        <x:v>Monitor for amendments.</x:v>
      </x:c>
    </x:row>
  </x:sheetData>
  <x:mergeCells>
    <x:mergeCell ref="A1:H1"/>
    <x:mergeCell ref="A2:H2"/>
  </x:mergeCells>
  <x:pageMargins left="0.7" right="0.7" top="0.75" bottom="0.75" header="0.3" footer="0.3"/>
  <x:tableParts count="1">
    <x:tablePart xmlns:r="http://schemas.openxmlformats.org/officeDocument/2006/relationships" r:id="R7c5925367a7b445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34" hidden="0" customWidth="1"/>
    <x:col min="4" max="4" width="34" hidden="0" customWidth="1"/>
  </x:cols>
  <x:sheetData>
    <x:row r="1">
      <x:c r="A1" s="84" t="str">
        <x:v>Coverage Status</x:v>
      </x:c>
      <x:c r="B1" s="84" t="str">
        <x:v>Gap Severity</x:v>
      </x:c>
      <x:c r="C1" s="84" t="str">
        <x:v>MVP Disposition</x:v>
      </x:c>
      <x:c r="D1" s="84" t="str">
        <x:v>Gap Status</x:v>
      </x:c>
    </x:row>
    <x:row r="2">
      <x:c r="A2" s="13" t="str">
        <x:v>Implemented and verified</x:v>
      </x:c>
      <x:c r="B2" s="13" t="str">
        <x:v>Critical</x:v>
      </x:c>
      <x:c r="C2" s="13" t="str">
        <x:v>Must close before MVP-1 release</x:v>
      </x:c>
      <x:c r="D2" s="13" t="str">
        <x:v>Open</x:v>
      </x:c>
    </x:row>
    <x:row r="3">
      <x:c r="A3" s="14" t="str">
        <x:v>Implemented; not verified</x:v>
      </x:c>
      <x:c r="B3" s="14" t="str">
        <x:v>High</x:v>
      </x:c>
      <x:c r="C3" s="14" t="str">
        <x:v>Close before affected feature release</x:v>
      </x:c>
      <x:c r="D3" s="14" t="str">
        <x:v>In progress</x:v>
      </x:c>
    </x:row>
    <x:row r="4">
      <x:c r="A4" s="14" t="str">
        <x:v>Partially documented</x:v>
      </x:c>
      <x:c r="B4" s="14" t="str">
        <x:v>Medium</x:v>
      </x:c>
      <x:c r="C4" s="14" t="str">
        <x:v>MVP-1 fail-closed; implement in MVP-2</x:v>
      </x:c>
      <x:c r="D4" s="14" t="str">
        <x:v>Approved documentation</x:v>
      </x:c>
    </x:row>
    <x:row r="5">
      <x:c r="A5" s="14" t="str">
        <x:v>Approved ledger; implementation not verified</x:v>
      </x:c>
      <x:c r="B5" s="14" t="str">
        <x:v>Low</x:v>
      </x:c>
      <x:c r="C5" s="14" t="str">
        <x:v>Defer to MVP-2; do not expose</x:v>
      </x:c>
      <x:c r="D5" s="14" t="str">
        <x:v>Deferred</x:v>
      </x:c>
    </x:row>
    <x:row r="6">
      <x:c r="A6" s="14" t="str">
        <x:v>Missing</x:v>
      </x:c>
      <x:c r="B6" s="14" t="str"/>
      <x:c r="C6" s="14" t="str">
        <x:v>Not applicable</x:v>
      </x:c>
      <x:c r="D6" s="14" t="str">
        <x:v>Closed</x:v>
      </x:c>
    </x:row>
    <x:row r="7">
      <x:c r="A7" s="14" t="str">
        <x:v>Not assessed</x:v>
      </x:c>
      <x:c r="B7" s="14" t="str"/>
      <x:c r="C7" s="14" t="str">
        <x:v>Legal review required</x:v>
      </x:c>
      <x:c r="D7" s="14" t="str">
        <x:v>Blocked</x:v>
      </x:c>
    </x:row>
    <x:row r="8">
      <x:c r="A8" s="14" t="str">
        <x:v>Out of current MVP</x:v>
      </x:c>
      <x:c r="B8" s="14" t="str"/>
      <x:c r="C8" s="14" t="str"/>
      <x:c r="D8" s="14" t="str"/>
    </x:row>
    <x:row r="9">
      <x:c r="A9" s="15" t="str">
        <x:v>Superseded</x:v>
      </x:c>
      <x:c r="B9" s="15" t="str"/>
      <x:c r="C9" s="15" t="str"/>
      <x:c r="D9" s="15" t="str"/>
    </x:row>
  </x:sheetData>
  <x:pageMargins left="0.7" right="0.7" top="0.75" bottom="0.75" header="0.3" footer="0.3"/>
</x:worksheet>
</file>